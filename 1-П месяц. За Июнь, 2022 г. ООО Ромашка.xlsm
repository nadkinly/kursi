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defaultThemeVersion="164011"/>
  <bookViews>
    <workbookView xWindow="0" yWindow="0" windowWidth="22260" windowHeight="12645" firstSheet="1" activeTab="3"/>
  </bookViews>
  <sheets>
    <sheet name="Технический" sheetId="3" state="hidden" r:id="rId1"/>
    <sheet name="Титульный" sheetId="2" r:id="rId2"/>
    <sheet name="Реквизиты" sheetId="1" r:id="rId3"/>
    <sheet name="Раздел 1 и 2" sheetId="4" r:id="rId4"/>
    <sheet name="Раздел 3" sheetId="5" r:id="rId5"/>
    <sheet name="Виды продукции" sheetId="7" r:id="rId6"/>
    <sheet name="КВЭД" sheetId="6" state="hidden" r:id="rId7"/>
  </sheets>
  <definedNames>
    <definedName name="sub_107111190" localSheetId="5">'Виды продукции'!$B$261</definedName>
    <definedName name="XlReportValidationSecondValuesTypes">Технический!$H$2:$O$2</definedName>
    <definedName name="XMLTAG_ReportSheetValidating_SNRN_4_SFRQ_5_SLRQ_1_TTRRN_5" localSheetId="3">'Раздел 1 и 2'!$A$28:$J$42</definedName>
    <definedName name="XMLTAG_Раздел1и2_ЗаОтчетныйМесяцПостр_01">'Раздел 1 и 2'!$C$5</definedName>
    <definedName name="XMLTAG_Раздел1и2_ЗаОтчетныйМесяцПостр_02">'Раздел 1 и 2'!$C$6</definedName>
    <definedName name="XMLTAG_Раздел1и2_ЗаОтчетныйМесяцПостр_05">'Раздел 1 и 2'!$C$7</definedName>
    <definedName name="XMLTAG_Раздел1и2_ЗаОтчетныйМесяцПостр_06">'Раздел 1 и 2'!$C$8</definedName>
    <definedName name="XMLTAG_Раздел1и2_ЗаОтчетныйМесяцПостр_09">'Раздел 1 и 2'!$C$9</definedName>
    <definedName name="XMLTAG_Раздел1и2_ЗаПредыдущийМесяцПостр_01">'Раздел 1 и 2'!$D$5</definedName>
    <definedName name="XMLTAG_Раздел1и2_ЗаПредыдущийМесяцПостр_02">'Раздел 1 и 2'!$D$6</definedName>
    <definedName name="XMLTAG_Раздел1и2_ЗаПредыдущийМесяцПостр_05">'Раздел 1 и 2'!$D$7</definedName>
    <definedName name="XMLTAG_Раздел1и2_ЗаПредыдущийМесяцПостр_06">'Раздел 1 и 2'!$D$8</definedName>
    <definedName name="XMLTAG_Раздел1и2_ЗаСоотвМесяцПрошлогоГодаПостр_01">'Раздел 1 и 2'!$E$5</definedName>
    <definedName name="XMLTAG_Раздел1и2_ЗаСоотвМесяцПрошлогоГодаПостр_02">'Раздел 1 и 2'!$E$6</definedName>
    <definedName name="XMLTAG_Раздел1и2_ЗаСоотвМесяцПрошлогоГодаПостр_05">'Раздел 1 и 2'!$E$7</definedName>
    <definedName name="XMLTAG_Раздел1и2_ЗаСоотвМесяцПрошлогоГодаПостр_06">'Раздел 1 и 2'!$E$8</definedName>
    <definedName name="XMLTAG_Раздел1и2_ЗаСоотвМесяцПрошлогоГодаПостр_09">'Раздел 1 и 2'!$E$9</definedName>
    <definedName name="XMLTAG_Раздел1и2_СведенияПоВидам_SNRN_6_SFRQ_7_SLRQ_1_TTRRN_7">'Раздел 1 и 2'!$A$13:$K$25</definedName>
    <definedName name="XMLTAG_Раздел1и2_СуммаСтр30Гр1">'Раздел 1 и 2'!$C$16</definedName>
    <definedName name="XMLTAG_Раздел1и2_СуммаСтр30Гр2">'Раздел 1 и 2'!$D$16</definedName>
    <definedName name="XMLTAG_Раздел1и2_СуммаСтр30Гр3">'Раздел 1 и 2'!$E$16</definedName>
    <definedName name="XMLTAG_Раздел1и2_СуммаСтр30Гр4">'Раздел 1 и 2'!$F$16</definedName>
    <definedName name="XMLTAG_Раздел1и2_СуммаСтр30Гр5">'Раздел 1 и 2'!$G$16</definedName>
    <definedName name="XMLTAG_Раздел1и2_СуммаСтр30Гр6">'Раздел 1 и 2'!$H$16</definedName>
    <definedName name="XMLTAG_Раздел1и2_СуммаСтр30Гр7">'Раздел 1 и 2'!$I$16</definedName>
    <definedName name="XMLTAG_Раздел1и2_СуммаСтр30Гр8">'Раздел 1 и 2'!$J$16</definedName>
    <definedName name="XMLTAG_Раздел1и2_СуммаСтр30Гр9">'Раздел 1 и 2'!$K$16</definedName>
    <definedName name="XMLTAG_Раздел3_ПроизводствоПромышленнойПродукции_SNRN_6_SFRQ_7_SLRQ_1_TTRRN_7">'Раздел 3'!$A$3:$L$32</definedName>
    <definedName name="XMLTAG_Реквизиты_КодОкпо">Реквизиты!$B$5</definedName>
    <definedName name="XMLTAG_Технический_Execute_Report_Finalizer_Macros">Технический!$E$1</definedName>
    <definedName name="XMLTAG_Технический_Parent">Технический!$E$3</definedName>
    <definedName name="XMLTAG_Технический_Report_Type">Технический!$B$1</definedName>
    <definedName name="XMLTAG_Технический_Report_Version_Value">Технический!$B$2</definedName>
    <definedName name="XMLTAG_Технический_Reporting_Period_End">Технический!$B$4</definedName>
    <definedName name="XMLTAG_Технический_Reporting_Period_Start">Технический!$B$3</definedName>
    <definedName name="XMLTAG_Технический_Target_Office">Технический!$E$2</definedName>
    <definedName name="XMLTAG_Титульный_ГлавныйБухгалтер">Титульный!$B$7</definedName>
    <definedName name="XMLTAG_Титульный_ГородРегистрацииОрганизации">Титульный!$B$4</definedName>
    <definedName name="XMLTAG_Титульный_Исполнитель">Титульный!$B$8</definedName>
    <definedName name="XMLTAG_Титульный_НаправитьОтчетВ">Титульный!$B$10</definedName>
    <definedName name="XMLTAG_Титульный_НомерТелефона">Титульный!$B$9</definedName>
    <definedName name="XMLTAG_Титульный_Организация">Титульный!$B$1</definedName>
    <definedName name="XMLTAG_Титульный_ОтчетныйПериод">Титульный!$B$5</definedName>
    <definedName name="XMLTAG_Титульный_РегНомер">Титульный!$B$2</definedName>
    <definedName name="XMLTAG_Титульный_РуководительОрганизации">Титульный!$B$6</definedName>
    <definedName name="XMLTAG_Титульный_ФискКод">Титульный!$B$3</definedName>
    <definedName name="_xlnm.Print_Area" localSheetId="3">'Раздел 1 и 2'!$A$1:$K$25</definedName>
    <definedName name="_xlnm.Print_Area" localSheetId="4">'Раздел 3'!$A$1:$L$32</definedName>
    <definedName name="_xlnm.Print_Area" localSheetId="2">Реквизиты!$A$1:$B$5</definedName>
    <definedName name="_xlnm.Print_Area" localSheetId="1">Титульный!$A$1:$B$10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5" l="1"/>
  <c r="A9" i="5"/>
  <c r="B19" i="4" l="1"/>
  <c r="B41" i="4" l="1"/>
  <c r="B40" i="4"/>
  <c r="B39" i="4"/>
  <c r="B38" i="4"/>
  <c r="B37" i="4"/>
  <c r="B36" i="4"/>
  <c r="B35" i="4"/>
  <c r="B34" i="4"/>
  <c r="B33" i="4"/>
  <c r="F41" i="4" l="1"/>
  <c r="F40" i="4"/>
  <c r="F39" i="4"/>
  <c r="F38" i="4"/>
  <c r="F37" i="4"/>
  <c r="F36" i="4"/>
  <c r="F35" i="4"/>
  <c r="F34" i="4"/>
  <c r="F33" i="4"/>
</calcChain>
</file>

<file path=xl/comments1.xml><?xml version="1.0" encoding="utf-8"?>
<comments xmlns="http://schemas.openxmlformats.org/spreadsheetml/2006/main">
  <authors>
    <author>Автор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Признак выполнения макроса финализатора отчета</t>
        </r>
      </text>
    </comment>
  </commentList>
</comments>
</file>

<file path=xl/sharedStrings.xml><?xml version="1.0" encoding="utf-8"?>
<sst xmlns="http://schemas.openxmlformats.org/spreadsheetml/2006/main" count="4300" uniqueCount="2238">
  <si>
    <t>Организация</t>
  </si>
  <si>
    <t>Регистрационный номер</t>
  </si>
  <si>
    <t>Фискальный код</t>
  </si>
  <si>
    <t>Город регистрации организации</t>
  </si>
  <si>
    <t>Отчетный период</t>
  </si>
  <si>
    <t>Руководитель</t>
  </si>
  <si>
    <t>Главный бухгалтер</t>
  </si>
  <si>
    <t>Исполнитель</t>
  </si>
  <si>
    <t>Номер телефона</t>
  </si>
  <si>
    <t>Предоставить от чет в (код АТЕ)</t>
  </si>
  <si>
    <t>Тип отчета</t>
  </si>
  <si>
    <t>Версия отчета</t>
  </si>
  <si>
    <t>Начало отчетного периода</t>
  </si>
  <si>
    <t>Конец отчетного периода</t>
  </si>
  <si>
    <t>Выполнять макрос</t>
  </si>
  <si>
    <t>Офис назначения</t>
  </si>
  <si>
    <t>0</t>
  </si>
  <si>
    <t>Индекс формы</t>
  </si>
  <si>
    <t>Форма  № 1-П (месячная)</t>
  </si>
  <si>
    <t>Утверждена Приказом</t>
  </si>
  <si>
    <t>Название Формы</t>
  </si>
  <si>
    <t>Код ОКПО</t>
  </si>
  <si>
    <t>*ЗАПОЛНЕНИЕ ЖЕЛТЫХ ЯЧЕЕК ЯВЛЯЕТСЯ ОБЯЗАТЕЛЬНЫМ!</t>
  </si>
  <si>
    <t>*ОКПО должен содержать 8 символов</t>
  </si>
  <si>
    <t xml:space="preserve">Министерством экономического развития Приднестровской Молдавской Республики </t>
  </si>
  <si>
    <t>ОТЧЕТ О ПРОИЗВОДСТВЕ ПРОМЫШЛЕННОЙ ПРОДУКЦИИ (РАБОТ, УСЛУГ)</t>
  </si>
  <si>
    <t>1. Основные показатели промышленной деятельности организации</t>
  </si>
  <si>
    <t>Показатели</t>
  </si>
  <si>
    <t>Код строки</t>
  </si>
  <si>
    <t>за отчетный               месяц</t>
  </si>
  <si>
    <t>за предыдущий месяц</t>
  </si>
  <si>
    <t>А</t>
  </si>
  <si>
    <t>Б</t>
  </si>
  <si>
    <t>01</t>
  </si>
  <si>
    <t>02</t>
  </si>
  <si>
    <t xml:space="preserve">Объем отгруженной продукции собственного производства, выполнено работ и услуг в фактических ценах за вычетом акцизов и экспортных пошлин, тыс. руб. </t>
  </si>
  <si>
    <t>05</t>
  </si>
  <si>
    <t xml:space="preserve">        из него за пределы республики</t>
  </si>
  <si>
    <t>06</t>
  </si>
  <si>
    <t>09</t>
  </si>
  <si>
    <t>Объем производства промышленной продукции (работ, услуг) в фактических  отпускных ценах за вычетом акцизов и экспортных пошлин</t>
  </si>
  <si>
    <t>Стоимость переработанного давальческого сырья (не оплаченного организацией-изготовителем продукции) в фактических ценах</t>
  </si>
  <si>
    <t>Объем отгруженной продукции собственного производства, выполнено работ и услуг в фактических ценах за вычетом акцизов и экспортных пошлин</t>
  </si>
  <si>
    <t>2. Сведения о видах экономической деятельности организации</t>
  </si>
  <si>
    <t>Код по КВЭД</t>
  </si>
  <si>
    <t>за отчетный 
месяц</t>
  </si>
  <si>
    <t>Вид экономической деятельности</t>
  </si>
  <si>
    <t>Фактически, тыс. руб.</t>
  </si>
  <si>
    <t>автосумма</t>
  </si>
  <si>
    <t>3. Производство промышленной продукции в натуральном выражении</t>
  </si>
  <si>
    <t>Наименование промышленной    продукции</t>
  </si>
  <si>
    <t>Код продукции (ОК 034-2020)</t>
  </si>
  <si>
    <t>Фактически произведено</t>
  </si>
  <si>
    <t>за отчетный месяц</t>
  </si>
  <si>
    <t>за соответствующий отчетному месяц предыдущего года</t>
  </si>
  <si>
    <t>всего</t>
  </si>
  <si>
    <t>В</t>
  </si>
  <si>
    <t>из него из давальчес-кого сырья</t>
  </si>
  <si>
    <t>Вносите данные ниже этой строки</t>
  </si>
  <si>
    <t>Вносите данные выше этой строки</t>
  </si>
  <si>
    <t>XMLTAG_Раздел 1 и 2_ВЭД_Название</t>
  </si>
  <si>
    <t>XMLTAG_Раздел 1 и 2_ВЭД_Код</t>
  </si>
  <si>
    <t>XMLTAG_Раздел 1 и 2_ВЭД_ПроизводствоЗаПредыдущий</t>
  </si>
  <si>
    <t>XMLTAG_Раздел 1 и 2_ВЭД_ПроизводствоЗаОтчетный</t>
  </si>
  <si>
    <t>XMLTAG_Раздел 1 и 2_ВЭД_ПроизводствоЗаПрошлый</t>
  </si>
  <si>
    <t>XMLTAG_Раздел 1 и 2_ВЭД_СтоимостьДавСырЗаОтчетный</t>
  </si>
  <si>
    <t>XMLTAG_Раздел 1 и 2_ВЭД_СтоимостьДавСырЗаПредыдущий</t>
  </si>
  <si>
    <t>XMLTAG_Раздел 1 и 2_ВЭД_СтоимостьДавСырЗаПрошлый</t>
  </si>
  <si>
    <t>XMLTAG_Раздел 1 и 2_ВЭД_ОтгруженоЗаОтчетный</t>
  </si>
  <si>
    <t>XMLTAG_Раздел 1 и 2_ВЭД_ОтгруженоЗаПредыдущий</t>
  </si>
  <si>
    <t>XMLTAG_Раздел 1 и 2_ВЭД_ОтгруженоЗаПрошлый</t>
  </si>
  <si>
    <t>08.1</t>
  </si>
  <si>
    <t>Добыча камня,песка и глины</t>
  </si>
  <si>
    <t>08.9</t>
  </si>
  <si>
    <t>Добыча полезных ископаемых,не включенные в другие категории</t>
  </si>
  <si>
    <t>Вспомогательные услуги в области добычи полезных ископаемых</t>
  </si>
  <si>
    <t>10.1</t>
  </si>
  <si>
    <t>Переработка  и консервирование мяса и мясных продуктов</t>
  </si>
  <si>
    <t>10.2</t>
  </si>
  <si>
    <t>Переработка и консервирование рыбы, ракообразных и моллюсков</t>
  </si>
  <si>
    <t>10.3</t>
  </si>
  <si>
    <t>Переработка и консервирование фруктов и овощей</t>
  </si>
  <si>
    <t>10.4</t>
  </si>
  <si>
    <t>10.5</t>
  </si>
  <si>
    <t>Производство молочных продуктов</t>
  </si>
  <si>
    <t>10.6</t>
  </si>
  <si>
    <t>Производство продуктов мукомольной и крупяной промышленности</t>
  </si>
  <si>
    <t>10.7</t>
  </si>
  <si>
    <t>10.8</t>
  </si>
  <si>
    <t>Производство прочих пищевых продуктов</t>
  </si>
  <si>
    <t>10.9</t>
  </si>
  <si>
    <t>Производство готовых кормов для животных</t>
  </si>
  <si>
    <t>Производство напитков</t>
  </si>
  <si>
    <t>12</t>
  </si>
  <si>
    <t>Производство табачных изделий</t>
  </si>
  <si>
    <t>13.1</t>
  </si>
  <si>
    <t>Подготовка и прядение текстильных волокон</t>
  </si>
  <si>
    <t>13.2</t>
  </si>
  <si>
    <t>Производство текстильных тканей</t>
  </si>
  <si>
    <t>13.3</t>
  </si>
  <si>
    <t>Отделка тканей и текстильных изделий</t>
  </si>
  <si>
    <t>13.9</t>
  </si>
  <si>
    <t>Производство прочих текстильных изделий</t>
  </si>
  <si>
    <t>14.1</t>
  </si>
  <si>
    <t>Производство одежды, кроме  одежды из меха</t>
  </si>
  <si>
    <t>14.2</t>
  </si>
  <si>
    <t>Производство меховых изделий</t>
  </si>
  <si>
    <t>14.3</t>
  </si>
  <si>
    <t>Производство вязаных и трикотажных изделий</t>
  </si>
  <si>
    <t>15.1</t>
  </si>
  <si>
    <t>Дубление и выделка кожи,производство чемоданов, сумок и изделий из кожи</t>
  </si>
  <si>
    <t>15.2</t>
  </si>
  <si>
    <t>Производство обуви</t>
  </si>
  <si>
    <t>16.1</t>
  </si>
  <si>
    <t>16.2</t>
  </si>
  <si>
    <t xml:space="preserve">Производство изделий из дерева </t>
  </si>
  <si>
    <t>17.1</t>
  </si>
  <si>
    <t>Производство целюлозы,бумаги и картона</t>
  </si>
  <si>
    <t>17.2</t>
  </si>
  <si>
    <t>Производство изделий из бумаги и картона</t>
  </si>
  <si>
    <t>18.1</t>
  </si>
  <si>
    <t>Полиграфическая деятельность и предоставление услуг</t>
  </si>
  <si>
    <t>18.2</t>
  </si>
  <si>
    <t>Тиражирование носителей информации</t>
  </si>
  <si>
    <t>19</t>
  </si>
  <si>
    <t>Производство кокса и нефтепродуктов</t>
  </si>
  <si>
    <t>20.1</t>
  </si>
  <si>
    <t>Прооизводство основных химических веществ, удобрений, пластмасс</t>
  </si>
  <si>
    <t>20.2</t>
  </si>
  <si>
    <t>Производство пестицидов и агрохимических продуктов</t>
  </si>
  <si>
    <t>20.3</t>
  </si>
  <si>
    <t>20.4</t>
  </si>
  <si>
    <t>Производство мыла и моющих, чистящих и полирующих средств, парфюмерных и косметических средств</t>
  </si>
  <si>
    <t>20.5</t>
  </si>
  <si>
    <t>Производство прочих химических продуктов</t>
  </si>
  <si>
    <t>20.6</t>
  </si>
  <si>
    <t>Производство синтетических и искусственных волокон</t>
  </si>
  <si>
    <t>21</t>
  </si>
  <si>
    <t>Призводство основных фармацептических препаратов</t>
  </si>
  <si>
    <t>22.1</t>
  </si>
  <si>
    <t>Производство резиновых изделий</t>
  </si>
  <si>
    <t>22.2</t>
  </si>
  <si>
    <t>Производство изделий из пластмасс</t>
  </si>
  <si>
    <t>23.1</t>
  </si>
  <si>
    <t>Производство стекла и изделий из стекла</t>
  </si>
  <si>
    <t>23.2</t>
  </si>
  <si>
    <t>Производство огнеупорных изделий</t>
  </si>
  <si>
    <t>23.3</t>
  </si>
  <si>
    <t>Производство строительных материалов из глины</t>
  </si>
  <si>
    <t>23.4</t>
  </si>
  <si>
    <t>Производство прочих фарфоровых и керамических изделий</t>
  </si>
  <si>
    <t>23.5</t>
  </si>
  <si>
    <t>Производство цемента, извести, гипса</t>
  </si>
  <si>
    <t>23.6</t>
  </si>
  <si>
    <t>Производство изделий из бетона, цемента, гипса</t>
  </si>
  <si>
    <t>23.7</t>
  </si>
  <si>
    <t>Резка, обработка и отделка камня</t>
  </si>
  <si>
    <t>23.9</t>
  </si>
  <si>
    <t>Производство абразивных и неметаллических минеральных изделий прочие</t>
  </si>
  <si>
    <t>24.1</t>
  </si>
  <si>
    <t>Производство чугуна, стали и ферросплавов</t>
  </si>
  <si>
    <t>24.2</t>
  </si>
  <si>
    <t>Производство стальных труб и трубок, полых профилей и фитингов</t>
  </si>
  <si>
    <t>24.3</t>
  </si>
  <si>
    <t>Производство прочих стальных изделий путем первичной обработки</t>
  </si>
  <si>
    <t>24.4</t>
  </si>
  <si>
    <t>Производство драгоценных металлов и прочих цветных металлов</t>
  </si>
  <si>
    <t>24.5</t>
  </si>
  <si>
    <t>Литье металлов</t>
  </si>
  <si>
    <t>25.1</t>
  </si>
  <si>
    <t>Производство строительных  металлических изделий</t>
  </si>
  <si>
    <t>25.2</t>
  </si>
  <si>
    <t>Производство металлических резервуаров, цистерн и емкостей</t>
  </si>
  <si>
    <t>25.3</t>
  </si>
  <si>
    <t>Производство паровых котлов, кроме котлов центрального отопления</t>
  </si>
  <si>
    <t>25.4</t>
  </si>
  <si>
    <t>Производство оружия и боеприпасов</t>
  </si>
  <si>
    <t>25.5</t>
  </si>
  <si>
    <t>Ковка, прессование, штамповка и профилирование металл</t>
  </si>
  <si>
    <t>25.6</t>
  </si>
  <si>
    <t>Обработка металлов и нанесение покрытий на металлы</t>
  </si>
  <si>
    <t>25.7</t>
  </si>
  <si>
    <t>Производство ножевых изделий, металлических  инструментов и скобяных изделий</t>
  </si>
  <si>
    <t>25.9</t>
  </si>
  <si>
    <t>Производство прочих готовых металлических изделий</t>
  </si>
  <si>
    <t>26</t>
  </si>
  <si>
    <t>Производство компьютеров, электронной и оптической техники</t>
  </si>
  <si>
    <t>27.1</t>
  </si>
  <si>
    <t>Производство электродвигателей, генераторов, трансформаторов и аппаратуры</t>
  </si>
  <si>
    <t>27.2</t>
  </si>
  <si>
    <t>Производство аккумуляторов и батарей</t>
  </si>
  <si>
    <t>27.3</t>
  </si>
  <si>
    <t>Производство проводов и кабелей, электромонтажных устройств</t>
  </si>
  <si>
    <t>27.4</t>
  </si>
  <si>
    <t>27.5</t>
  </si>
  <si>
    <t>Производство бытовых приборов</t>
  </si>
  <si>
    <t>27.9</t>
  </si>
  <si>
    <t>28.1</t>
  </si>
  <si>
    <t>Производство машин общего назначения</t>
  </si>
  <si>
    <t>28.2</t>
  </si>
  <si>
    <t>Производство прочих машин и оборудования общего назначения</t>
  </si>
  <si>
    <t>28.3</t>
  </si>
  <si>
    <t>Производство машин и оборудования для сельского хозяйства</t>
  </si>
  <si>
    <t>28.4</t>
  </si>
  <si>
    <t>Производство станков и оборудования для обработки металлов</t>
  </si>
  <si>
    <t>28.9</t>
  </si>
  <si>
    <t>Производство прочих машин и оборудования специального назначения</t>
  </si>
  <si>
    <t>29.1</t>
  </si>
  <si>
    <t>Производство автотранспортных средств</t>
  </si>
  <si>
    <t>29.2</t>
  </si>
  <si>
    <t>29.3</t>
  </si>
  <si>
    <t>Производство комплектующих и принадлежности для автотранспортных средств</t>
  </si>
  <si>
    <t>Производство прочих транспортных средств</t>
  </si>
  <si>
    <t>Производство мебели</t>
  </si>
  <si>
    <t>32.1</t>
  </si>
  <si>
    <t>Производство ювелирных изделий, бижутерии и аналогичных изделий</t>
  </si>
  <si>
    <t>32.2</t>
  </si>
  <si>
    <t>Производство музыкальных инструментов</t>
  </si>
  <si>
    <t>32.3</t>
  </si>
  <si>
    <t>Производство спортивных изделий</t>
  </si>
  <si>
    <t>32.4</t>
  </si>
  <si>
    <t>Производство игр и игрушек</t>
  </si>
  <si>
    <t>32.5</t>
  </si>
  <si>
    <t>Производство медицинских инструментов и принадлежностей</t>
  </si>
  <si>
    <t>32.9</t>
  </si>
  <si>
    <t>Производство прочих изделий, не включенных в другие категории</t>
  </si>
  <si>
    <t>33.1</t>
  </si>
  <si>
    <t xml:space="preserve">Ремонт металлических изделий, машин </t>
  </si>
  <si>
    <t>33.2</t>
  </si>
  <si>
    <t>Монтаж промышленных машин и оборудования</t>
  </si>
  <si>
    <t>35.1</t>
  </si>
  <si>
    <t>Производство, передача и распределение электроэнергии</t>
  </si>
  <si>
    <t>35.2</t>
  </si>
  <si>
    <t>Производство газа; распределение газообразного топлива по трубопроводам</t>
  </si>
  <si>
    <t>35.3</t>
  </si>
  <si>
    <t>Снажбение паром и горячей водой; кондиционирование воздуха</t>
  </si>
  <si>
    <t>Признак выполнения</t>
  </si>
  <si>
    <t>XMLTAG_Column_1</t>
  </si>
  <si>
    <t>Введите данные ниже этой строки</t>
  </si>
  <si>
    <t>Введите данные выше этой строки (Добавление новой строки)</t>
  </si>
  <si>
    <t>Значение 1</t>
  </si>
  <si>
    <t>XMLTAG_Column_2</t>
  </si>
  <si>
    <t>Условие</t>
  </si>
  <si>
    <t>XMLTAG_Column_3</t>
  </si>
  <si>
    <t>Критерий проверки</t>
  </si>
  <si>
    <t>XMLTAG_Column_4</t>
  </si>
  <si>
    <t>Ссылка на значение 2</t>
  </si>
  <si>
    <t>XMLTAG_Column_5</t>
  </si>
  <si>
    <t>Значение 2</t>
  </si>
  <si>
    <t>XMLTAG_Column_6</t>
  </si>
  <si>
    <t>Период значения 2</t>
  </si>
  <si>
    <t>XMLTAG_Column_7</t>
  </si>
  <si>
    <t>Тип правила</t>
  </si>
  <si>
    <t>XMLTAG_Column_8</t>
  </si>
  <si>
    <t>Результат проверки</t>
  </si>
  <si>
    <t>XMLTAG_Column_9</t>
  </si>
  <si>
    <t>Сообщение</t>
  </si>
  <si>
    <t>XMLTAG_Column_10</t>
  </si>
  <si>
    <t>1) Текущий отчет</t>
  </si>
  <si>
    <t>2) Другой отчет этого же отчетного периода</t>
  </si>
  <si>
    <t>3) Этот же отчет за предыдущий отчетный период</t>
  </si>
  <si>
    <t>4) Этот же отчет за аналогичный период прошлого года</t>
  </si>
  <si>
    <t>5) Этот же отчет за последний период прошлого года</t>
  </si>
  <si>
    <t>6) Справочное значение</t>
  </si>
  <si>
    <t>7) Такой же тип отчета за тот же отчетный период</t>
  </si>
  <si>
    <t>8) Критерий риска</t>
  </si>
  <si>
    <t>=</t>
  </si>
  <si>
    <t>XMLTAG_Раздел1и2_СуммаСтр30Гр1</t>
  </si>
  <si>
    <t>Текущий</t>
  </si>
  <si>
    <t>Строгое исключение</t>
  </si>
  <si>
    <t>XMLTAG_Раздел1и2_СуммаСтр30Гр2</t>
  </si>
  <si>
    <t>XMLTAG_Раздел1и2_СуммаСтр30Гр3</t>
  </si>
  <si>
    <t>XMLTAG_Раздел1и2_СуммаСтр30Гр4</t>
  </si>
  <si>
    <t>XMLTAG_Раздел1и2_СуммаСтр30Гр5</t>
  </si>
  <si>
    <t>XMLTAG_Раздел1и2_СуммаСтр30Гр6</t>
  </si>
  <si>
    <t>XMLTAG_Раздел1и2_СуммаСтр30Гр7</t>
  </si>
  <si>
    <t>XMLTAG_Раздел1и2_СуммаСтр30Гр8</t>
  </si>
  <si>
    <t>XMLTAG_Раздел1и2_СуммаСтр30Гр9</t>
  </si>
  <si>
    <t>Стоимость переработанного давальческого сырья  (не оплаченного организацией-изготовителем продукции) в фактических ценах, тыс. руб.</t>
  </si>
  <si>
    <t>за соответствую-щий отчетному месяц преды-дущего года</t>
  </si>
  <si>
    <t xml:space="preserve">Объем производства промышленной продукции  (работ, услуг) в фактических  отпускных ценах за вычетом акцизов и экспортных пошлин,                  тыс. руб. </t>
  </si>
  <si>
    <t>стр. 30 гр.1=стр. 01 гр.1</t>
  </si>
  <si>
    <t>стр. 30 гр.2=стр. 01 гр.2</t>
  </si>
  <si>
    <t>стр. 30 гр.3=стр. 01 гр.3</t>
  </si>
  <si>
    <t>стр. 30 гр.4=стр. 02 гр.1</t>
  </si>
  <si>
    <t>стр. 30 гр.5=стр. 02 гр.2</t>
  </si>
  <si>
    <t>стр. 30 гр.6=стр. 02 гр.3</t>
  </si>
  <si>
    <t>XMLTAG_Раздел 3_ВидыПродукции_Название</t>
  </si>
  <si>
    <t>XMLTAG_Раздел 3_ВидыПродукции_ЕдИзмерений</t>
  </si>
  <si>
    <t>XMLTAG_Раздел 3_ВидыПродукции_Код</t>
  </si>
  <si>
    <t>XMLTAG_Раздел 3_ВидыПродукции_Графа1</t>
  </si>
  <si>
    <t>XMLTAG_Раздел 3_ВидыПродукции_Графа2</t>
  </si>
  <si>
    <t>XMLTAG_Раздел 3_ВидыПродукции_Графа3</t>
  </si>
  <si>
    <t>XMLTAG_Раздел 3_ВидыПродукции_Графа4</t>
  </si>
  <si>
    <t>XMLTAG_Раздел 3_ВидыПродукции_Графа5</t>
  </si>
  <si>
    <t>XMLTAG_Раздел 3_ВидыПродукции_Графа6</t>
  </si>
  <si>
    <t>XMLTAG_Раздел 3_ВидыПродукции_Графа7</t>
  </si>
  <si>
    <t>XMLTAG_Раздел 3_ВидыПродукции_Графа8</t>
  </si>
  <si>
    <t>XMLTAG_Раздел 3_ВидыПродукции_Графа9</t>
  </si>
  <si>
    <t>Х</t>
  </si>
  <si>
    <t>Распиловка и строгание древесины</t>
  </si>
  <si>
    <t>Добыча камня, песка и глины</t>
  </si>
  <si>
    <t>тонн</t>
  </si>
  <si>
    <t>08.11.11.190</t>
  </si>
  <si>
    <t xml:space="preserve">Известняк и гипс </t>
  </si>
  <si>
    <t>08.11.20</t>
  </si>
  <si>
    <t xml:space="preserve">Переработка и консервироание мяса и мясных продуктов </t>
  </si>
  <si>
    <t>10.11.11</t>
  </si>
  <si>
    <t>10.11.12</t>
  </si>
  <si>
    <t>Пераработка и консервированные рыбы, ракообразных и моллюсков</t>
  </si>
  <si>
    <t>10.20.11</t>
  </si>
  <si>
    <t>кг</t>
  </si>
  <si>
    <t>10.20.13</t>
  </si>
  <si>
    <t>Рыба мороженая</t>
  </si>
  <si>
    <t>10.20.14</t>
  </si>
  <si>
    <t>Филе рыбное мороженое</t>
  </si>
  <si>
    <t>10.20.15</t>
  </si>
  <si>
    <t>Мясо рыбы (включая фарш) мороженое</t>
  </si>
  <si>
    <t>10.20.23.110</t>
  </si>
  <si>
    <t>Рыба вяленая</t>
  </si>
  <si>
    <t>10.20.23.120</t>
  </si>
  <si>
    <t>Рыба соленая или в рассоле</t>
  </si>
  <si>
    <t>10.20.23.130</t>
  </si>
  <si>
    <t>Рыба сушеная</t>
  </si>
  <si>
    <t>10.20.24</t>
  </si>
  <si>
    <t>Рыба, включая филе, копченая</t>
  </si>
  <si>
    <t>10.20.25.110</t>
  </si>
  <si>
    <t>Консервы рыбные</t>
  </si>
  <si>
    <t>туб</t>
  </si>
  <si>
    <t>10.20.25.120</t>
  </si>
  <si>
    <t>Пресервы рыбные</t>
  </si>
  <si>
    <t>Икра и заменители икры</t>
  </si>
  <si>
    <t>10.20.26.110</t>
  </si>
  <si>
    <t>Икра</t>
  </si>
  <si>
    <t>Производство растительных и животных масел и жиров</t>
  </si>
  <si>
    <t>Производство красок, лаков и аналогичных материалов</t>
  </si>
  <si>
    <t>Производство кузовов для автотранспортных средств; прицепов и полуприцепов</t>
  </si>
  <si>
    <t>Сбор, обработка и распределение воды</t>
  </si>
  <si>
    <t>Сбор и обработка сточных вод</t>
  </si>
  <si>
    <t>Сбор, обработка и утилизация отходов; вторичного сырья</t>
  </si>
  <si>
    <t>Деятельность по востановлению окружающей среды</t>
  </si>
  <si>
    <t>от 14 декабря 2022 года № 1396</t>
  </si>
  <si>
    <t>ОК 034-2020</t>
  </si>
  <si>
    <t>Наименование</t>
  </si>
  <si>
    <t xml:space="preserve">     Ед. изм.</t>
  </si>
  <si>
    <t>Песок строительный природный</t>
  </si>
  <si>
    <r>
      <t>м</t>
    </r>
    <r>
      <rPr>
        <vertAlign val="superscript"/>
        <sz val="9"/>
        <rFont val="Times New Roman"/>
        <family val="1"/>
        <charset val="204"/>
      </rPr>
      <t>3</t>
    </r>
  </si>
  <si>
    <t>Гравий</t>
  </si>
  <si>
    <t>Щебень</t>
  </si>
  <si>
    <t xml:space="preserve">Смесь песчано-гравийная </t>
  </si>
  <si>
    <t>Добыча полезных ископаемых, не включенных в другие категории</t>
  </si>
  <si>
    <t>09.1</t>
  </si>
  <si>
    <t xml:space="preserve">Производство пищевых продуктов </t>
  </si>
  <si>
    <t>10.11.1</t>
  </si>
  <si>
    <t xml:space="preserve">   из них говядина и телятина парная, остывшая или охлажденное</t>
  </si>
  <si>
    <t xml:space="preserve">   из них свинина парная, остывшая или охлажденная</t>
  </si>
  <si>
    <t>10.11.13</t>
  </si>
  <si>
    <t xml:space="preserve">   из них баранина парная, остывшая или охлажденная</t>
  </si>
  <si>
    <t>10.11.15</t>
  </si>
  <si>
    <t xml:space="preserve">   из них конина парная, остывшая или охлажденная</t>
  </si>
  <si>
    <t>10.11.2</t>
  </si>
  <si>
    <t>Субпродукты пищевые КРС, свиные, бараньи парные, остывшие или охлажденные</t>
  </si>
  <si>
    <t>10.11.3</t>
  </si>
  <si>
    <t>Мясо и пищевые субпродукты замороженные</t>
  </si>
  <si>
    <t>10.11.31</t>
  </si>
  <si>
    <t xml:space="preserve">   из них говядина и телятина замороженная</t>
  </si>
  <si>
    <t>10.11.32</t>
  </si>
  <si>
    <t xml:space="preserve">   из них свинина замороженная</t>
  </si>
  <si>
    <t>10.11.33</t>
  </si>
  <si>
    <t xml:space="preserve">   из них баранина замороженная</t>
  </si>
  <si>
    <t>10.11.35</t>
  </si>
  <si>
    <t xml:space="preserve">   из них конина замороженная</t>
  </si>
  <si>
    <t>10.11.31.140</t>
  </si>
  <si>
    <t xml:space="preserve">   из них субпродукты крупного рогатого скота замороженные</t>
  </si>
  <si>
    <t xml:space="preserve">10.11.32.140 </t>
  </si>
  <si>
    <t xml:space="preserve">   из них субпродукты свиные замороженные</t>
  </si>
  <si>
    <t>10.11.39</t>
  </si>
  <si>
    <t>Субпродукты прочие замороженные</t>
  </si>
  <si>
    <t>10.11.42</t>
  </si>
  <si>
    <t>Шкуры и кожи крупного рогатого скота и животных семейств лошадиных сырые</t>
  </si>
  <si>
    <t>10.11.43</t>
  </si>
  <si>
    <t>Шкуры и кожи крупного рогатого скота и животных семейств лошадиных  прочие</t>
  </si>
  <si>
    <t>10.11.50</t>
  </si>
  <si>
    <t>Жиры крупного рогатого скота, овец, коз и свиней</t>
  </si>
  <si>
    <t>10.11.60</t>
  </si>
  <si>
    <t>Субпродукты, не пригодные для употребления в пищу, необработанные</t>
  </si>
  <si>
    <t>10.12.10</t>
  </si>
  <si>
    <t>Мясо сельскохозяйственной птицы охлажденное</t>
  </si>
  <si>
    <t>10.12.20</t>
  </si>
  <si>
    <t>Мясо сельскохозяйственной птицы замороженное</t>
  </si>
  <si>
    <t>10.12.30</t>
  </si>
  <si>
    <t>Жиры сельскохозяйственной птицы</t>
  </si>
  <si>
    <t>10.12.40</t>
  </si>
  <si>
    <t>Субпродукты сельскохозяйственной птицы пищевые</t>
  </si>
  <si>
    <t>10.12.50</t>
  </si>
  <si>
    <t>Прочие продукты  убоя сельскохозяйственной птицы</t>
  </si>
  <si>
    <t>10.13.11</t>
  </si>
  <si>
    <t>Свинина соленая, в рассоле, копченая, сушеная</t>
  </si>
  <si>
    <t>10.13.12</t>
  </si>
  <si>
    <t>Мясо крупного рогатого скота соленое, в рассоле, копченое, сушеное</t>
  </si>
  <si>
    <t>10.13.13</t>
  </si>
  <si>
    <t>Мясо и мясные пищевые субпродукты прочие, соленые, в рассоле, копченые, сушеные</t>
  </si>
  <si>
    <t>10.13.14.100</t>
  </si>
  <si>
    <t>Изделия колбасные вареные, в том числе фаршированные</t>
  </si>
  <si>
    <t>10.13.14.111</t>
  </si>
  <si>
    <t xml:space="preserve">   из них колбасы (колбаски) вареные мясные</t>
  </si>
  <si>
    <t>10.13.14.112</t>
  </si>
  <si>
    <t xml:space="preserve">   из них сосиски мясные</t>
  </si>
  <si>
    <t>10.13.14.113</t>
  </si>
  <si>
    <t xml:space="preserve">   из них сардельки мясные</t>
  </si>
  <si>
    <t>10.13.14.114</t>
  </si>
  <si>
    <t xml:space="preserve">   из них шпикачки мясные</t>
  </si>
  <si>
    <t>10.13.14.121</t>
  </si>
  <si>
    <t xml:space="preserve">   из них колбасы (колбаски) вареные мясосодержащие</t>
  </si>
  <si>
    <t>10.13.14.122</t>
  </si>
  <si>
    <t xml:space="preserve">   из них сосиски мясосодержащие</t>
  </si>
  <si>
    <t>10.13.14.123</t>
  </si>
  <si>
    <t xml:space="preserve">   из них сардельки мясосодержащие</t>
  </si>
  <si>
    <t>10.13.14.124</t>
  </si>
  <si>
    <t xml:space="preserve">   из них шпикачки мясосодержащие</t>
  </si>
  <si>
    <t>10.13.14.130</t>
  </si>
  <si>
    <t xml:space="preserve">   из них мяса и субпродуктов птицы</t>
  </si>
  <si>
    <t>10.13.14.200</t>
  </si>
  <si>
    <t>Изделия колбасные кровяные</t>
  </si>
  <si>
    <t>10.13.14.400</t>
  </si>
  <si>
    <t>Изделия колбасные копченые</t>
  </si>
  <si>
    <t>10.13.14.411</t>
  </si>
  <si>
    <t xml:space="preserve">   из них колбасы (колбаски) полукопченые мясные</t>
  </si>
  <si>
    <t>10.13.14.412</t>
  </si>
  <si>
    <t xml:space="preserve">   из них колбасы (колбаски) варено-копченые мясные</t>
  </si>
  <si>
    <t>10.13.14.413</t>
  </si>
  <si>
    <t xml:space="preserve">   из них колбасы (колбаски) сырокопченые мясные</t>
  </si>
  <si>
    <t>10.13.14.415</t>
  </si>
  <si>
    <t xml:space="preserve">   из них колбасы (колбаски) сыровяленые мясные</t>
  </si>
  <si>
    <t>10.13.14.421</t>
  </si>
  <si>
    <t xml:space="preserve">   из них колбасы (колбаски) полукопченые мясосодержащие</t>
  </si>
  <si>
    <t>10.13.14.422</t>
  </si>
  <si>
    <t xml:space="preserve">   из них колбасы (колбаски) варено-копченые мясосодержащие</t>
  </si>
  <si>
    <t>10.13.14.429</t>
  </si>
  <si>
    <t xml:space="preserve">   из них изделия колбасные копченые мясосодержащие прочие</t>
  </si>
  <si>
    <t>10.13.14.430</t>
  </si>
  <si>
    <t xml:space="preserve">   из них изделия колбасные копченые из мяса птицы</t>
  </si>
  <si>
    <t>10.13.14.431</t>
  </si>
  <si>
    <t xml:space="preserve">   из них изделия колбасные полукопченые из мяса птицы</t>
  </si>
  <si>
    <t>10.13.14.432</t>
  </si>
  <si>
    <t xml:space="preserve">   из них изделия колбасные варено-копченые из мяса птицы</t>
  </si>
  <si>
    <t>10.13.14.433</t>
  </si>
  <si>
    <t xml:space="preserve">   из них изделия колбасные сыровяленые из мяса птицы</t>
  </si>
  <si>
    <t>10.13.14.434</t>
  </si>
  <si>
    <t xml:space="preserve">   из них изделия колбасные сырокопченые из мяса птицы</t>
  </si>
  <si>
    <t>10.13.14.500</t>
  </si>
  <si>
    <t>Изделия колбасные из термически обработанных ингредиентов</t>
  </si>
  <si>
    <t>10.13.14.600</t>
  </si>
  <si>
    <t>10.13.14.610</t>
  </si>
  <si>
    <t xml:space="preserve">   из них мяса говядины, свинины, конины, баранины</t>
  </si>
  <si>
    <t>10.13.14.620</t>
  </si>
  <si>
    <t xml:space="preserve">   из них мяса птицы</t>
  </si>
  <si>
    <t>10.13.14.710</t>
  </si>
  <si>
    <t>Полуфабрикаты мясные охлажденные, замороженные</t>
  </si>
  <si>
    <t>10.13.14.711</t>
  </si>
  <si>
    <t xml:space="preserve">   из них крупнокусковые охлажденные </t>
  </si>
  <si>
    <t>10.13.14.715</t>
  </si>
  <si>
    <t xml:space="preserve">   из них крупнокусковые замороженные</t>
  </si>
  <si>
    <t>10.13.14.717</t>
  </si>
  <si>
    <t xml:space="preserve">   из них рубленные замороженные</t>
  </si>
  <si>
    <t>10.13.14.718</t>
  </si>
  <si>
    <t xml:space="preserve">   из них в тесте замороженные</t>
  </si>
  <si>
    <t>10.13.14.720</t>
  </si>
  <si>
    <t>Полуфабрикаты мясосодержащие охлажденные, замороженные</t>
  </si>
  <si>
    <t>10.13.14.730</t>
  </si>
  <si>
    <t>Полуфабрикаты из мяса и субпродуктов птицы замороженные, охлажденные</t>
  </si>
  <si>
    <t>10.13.14.800</t>
  </si>
  <si>
    <t>Изделия кулинарные мясные охлажденные, замороженные</t>
  </si>
  <si>
    <t>10.13.14.900</t>
  </si>
  <si>
    <t>Изделия колбасные и аналогичная пищевая продукция из мяса, субпродуктов или крови животных, из мяса и субпродуктов птицы, прочие, не включенные в другие группировки</t>
  </si>
  <si>
    <t>10.13.15.110</t>
  </si>
  <si>
    <t>Консервы мясные</t>
  </si>
  <si>
    <t>10.13.15.120</t>
  </si>
  <si>
    <t>Консервы из мясосодержащие</t>
  </si>
  <si>
    <t>10.13.15.130</t>
  </si>
  <si>
    <t>Консервы из мяса и субпродуктов птицы</t>
  </si>
  <si>
    <t>10.13.15.140</t>
  </si>
  <si>
    <t>Консервы мясорастительные с использованием мяса и субпродуктов птицы</t>
  </si>
  <si>
    <t>10.13.15.160</t>
  </si>
  <si>
    <t>Продукты из шпика для  употребления в пищу в соленом, вареном, запеченном, копченом, копчено-вареном, копчено-запеченном, варено-запеченном, жареном</t>
  </si>
  <si>
    <t>10.13.15.170</t>
  </si>
  <si>
    <t>Жиры животные топленые</t>
  </si>
  <si>
    <t>10.13.15.180</t>
  </si>
  <si>
    <t>Жир птицы топленый</t>
  </si>
  <si>
    <t>10.13.15.190</t>
  </si>
  <si>
    <t>Продукция мясная пищевая, в том числе из мяса птицы прочая</t>
  </si>
  <si>
    <t>10.20.23.122</t>
  </si>
  <si>
    <t xml:space="preserve">   из них сельдь соленая или в рассоле</t>
  </si>
  <si>
    <t>10.20.23.123</t>
  </si>
  <si>
    <t xml:space="preserve">   из них рыба морская соленая или в рассоле (кроме сельди)</t>
  </si>
  <si>
    <t>10.20.24.112</t>
  </si>
  <si>
    <t xml:space="preserve">   из них сельдь и филе сельди холодного копчения</t>
  </si>
  <si>
    <t>10.20.24.113</t>
  </si>
  <si>
    <t>10.20.24.122</t>
  </si>
  <si>
    <t xml:space="preserve">   из них сельдь и филе сельди горячего копчения</t>
  </si>
  <si>
    <t>10.20.24.123</t>
  </si>
  <si>
    <t>10.20.26.120</t>
  </si>
  <si>
    <t>10.32.11</t>
  </si>
  <si>
    <t>Сок томатный</t>
  </si>
  <si>
    <t>10.32.11.110</t>
  </si>
  <si>
    <t xml:space="preserve">   из них прямого отжима</t>
  </si>
  <si>
    <t>10.32.11.120</t>
  </si>
  <si>
    <t xml:space="preserve">   из них востановлеенный</t>
  </si>
  <si>
    <t>10.32.15</t>
  </si>
  <si>
    <t>Сок виноградный</t>
  </si>
  <si>
    <t>10.32.16</t>
  </si>
  <si>
    <t>Сок яблочный</t>
  </si>
  <si>
    <t>10.32.16.110</t>
  </si>
  <si>
    <t>10.32.16.120</t>
  </si>
  <si>
    <t>10.32.17.110</t>
  </si>
  <si>
    <t>Смеси фруктовых соков</t>
  </si>
  <si>
    <t>10.32.17.120</t>
  </si>
  <si>
    <t>Смеси овощных соков</t>
  </si>
  <si>
    <t>10.32.17.130</t>
  </si>
  <si>
    <t>Смеси фруктовых и овощных соков</t>
  </si>
  <si>
    <t>10.32.19.110</t>
  </si>
  <si>
    <t>Соки из фруктов прочие</t>
  </si>
  <si>
    <t>10.32.19.111</t>
  </si>
  <si>
    <t>10.32.19.112</t>
  </si>
  <si>
    <t>10.32.19.120</t>
  </si>
  <si>
    <t>Соки из овощей прочие</t>
  </si>
  <si>
    <t>10.32.19.130</t>
  </si>
  <si>
    <t>Соки из фруктов и овощей концентрированные</t>
  </si>
  <si>
    <t>10.32.21.110</t>
  </si>
  <si>
    <t>Нектары фруктовые</t>
  </si>
  <si>
    <t>10.32.22.110</t>
  </si>
  <si>
    <t>Напитки сокосодержащие фруктовые</t>
  </si>
  <si>
    <t>10.32.22.120</t>
  </si>
  <si>
    <t>Напитки сокосодержащие овощные</t>
  </si>
  <si>
    <t>10.32.27.110</t>
  </si>
  <si>
    <t>Пюре фруктовые и фруктово-овощные для производства соковой продукции</t>
  </si>
  <si>
    <t>10.32.29.000</t>
  </si>
  <si>
    <t>Продукция соковая прочая</t>
  </si>
  <si>
    <t>10.39.11.000</t>
  </si>
  <si>
    <t>Овощи (кроме картофеля) и грибы замороженные</t>
  </si>
  <si>
    <t>10.39.14.000</t>
  </si>
  <si>
    <t>Овощи (кроме картофеля) резаные, расфасованные в пакеты</t>
  </si>
  <si>
    <t>10.39.15.000</t>
  </si>
  <si>
    <t>Фасоль, консервированная без уксуса или уксусной кислоты</t>
  </si>
  <si>
    <t>10.39.16.000</t>
  </si>
  <si>
    <t xml:space="preserve">Горох, консервированный без уксуса или уксусной кислоты </t>
  </si>
  <si>
    <t>10.39.17.100</t>
  </si>
  <si>
    <t xml:space="preserve">Овощи (кроме картофеля), консервированные без уксуса или уксусной кислоты, прочие </t>
  </si>
  <si>
    <t>10.39.17.111</t>
  </si>
  <si>
    <t>10.39.17.112</t>
  </si>
  <si>
    <t xml:space="preserve">   из них паста томатная</t>
  </si>
  <si>
    <t>10.39.17.190</t>
  </si>
  <si>
    <t>10.39.17.200</t>
  </si>
  <si>
    <t>Грибы, консервированные без уксуса или уксусной кислоты, прочие</t>
  </si>
  <si>
    <t>10.39.18.110</t>
  </si>
  <si>
    <t>Овощи, приготовленные или консервированные с уксусом или уксусной кислотой</t>
  </si>
  <si>
    <t>10.39.18.120</t>
  </si>
  <si>
    <t>Грибы, приготовленные или консервированные с уксусом или уксусной кислотой</t>
  </si>
  <si>
    <t>10.39.21.110</t>
  </si>
  <si>
    <t>Фрукты, свежие или предварительно подвергнутые тепловой обработке, замороженные</t>
  </si>
  <si>
    <t>10.39.22.110</t>
  </si>
  <si>
    <t>Джемы, желе фруктовые и ягодные</t>
  </si>
  <si>
    <t>10.39.22.120</t>
  </si>
  <si>
    <t>Компоты фруктовые и ягодные</t>
  </si>
  <si>
    <t>10.39.22.130</t>
  </si>
  <si>
    <t>Пюре и пасты фруктовые, ягодные и ореховые</t>
  </si>
  <si>
    <t>10.39.22.140</t>
  </si>
  <si>
    <t>Пюре фруктово-овощные</t>
  </si>
  <si>
    <t>10.39.23.000</t>
  </si>
  <si>
    <t>Орехи, арахис, обжаренные, соленые или приготовленные другим способом</t>
  </si>
  <si>
    <t>10.39.25.130</t>
  </si>
  <si>
    <t>Фрукты сушеные</t>
  </si>
  <si>
    <t>10.39.30.000</t>
  </si>
  <si>
    <t>Сырье растительное, отходы и остатки растительные, продукты побочные</t>
  </si>
  <si>
    <t>Масла и жиры животные и растительные</t>
  </si>
  <si>
    <t>10.41.2</t>
  </si>
  <si>
    <t>Масла растительные и их фракции нерафинированные</t>
  </si>
  <si>
    <t>10.41.24.000</t>
  </si>
  <si>
    <t xml:space="preserve">   из них масло подсолнечное и его фракции нерафинированные</t>
  </si>
  <si>
    <t>10.41.29.110</t>
  </si>
  <si>
    <t xml:space="preserve">   из них масла растительные и их фракции нерафинированные прочие</t>
  </si>
  <si>
    <t>10.41.41.100</t>
  </si>
  <si>
    <t>Жмых и прочие твердые остатки растительных жиров или масел</t>
  </si>
  <si>
    <t>10.41.5</t>
  </si>
  <si>
    <t>Масла растительные и их фракции рафинированные</t>
  </si>
  <si>
    <t>10.41.54.000</t>
  </si>
  <si>
    <t xml:space="preserve">   из них масло подсолнечное и его фракции рафинированные</t>
  </si>
  <si>
    <t>10.41.59.155</t>
  </si>
  <si>
    <t xml:space="preserve">   из них масла растительные ароматизированные</t>
  </si>
  <si>
    <t>10.41.59.156</t>
  </si>
  <si>
    <t xml:space="preserve">   из них масла растительные с растительными добавками</t>
  </si>
  <si>
    <t>10.42.10.110</t>
  </si>
  <si>
    <t>Маргарин</t>
  </si>
  <si>
    <t>10.42.10.120</t>
  </si>
  <si>
    <t>Спреды растительно-сливочные, растительно-жировые</t>
  </si>
  <si>
    <t>10.42.10.121</t>
  </si>
  <si>
    <t>Спреды растительно-сливочные</t>
  </si>
  <si>
    <t>10.42.10.122</t>
  </si>
  <si>
    <t>Спреды растительно-жировые</t>
  </si>
  <si>
    <t>10.42.10.131</t>
  </si>
  <si>
    <t>Смеси топленые растительно-сливочные</t>
  </si>
  <si>
    <t>10.42.10.132</t>
  </si>
  <si>
    <t>Смеси топленые растительно-жировые</t>
  </si>
  <si>
    <t>Молоко и молочная продукция</t>
  </si>
  <si>
    <t>10.51.11.110</t>
  </si>
  <si>
    <t>Молоко питьевое пастеризованное</t>
  </si>
  <si>
    <t>10.51.12.110</t>
  </si>
  <si>
    <t>Сливки</t>
  </si>
  <si>
    <t>10.51.21.110</t>
  </si>
  <si>
    <t>Молоко сухое не более 1,5% жирности</t>
  </si>
  <si>
    <t>10.51.22.110</t>
  </si>
  <si>
    <t>Молоко (частично обезжиренное, цельное) сухое</t>
  </si>
  <si>
    <t>10.51.30.110</t>
  </si>
  <si>
    <t>Масло сливочное</t>
  </si>
  <si>
    <t>10.51.30.510</t>
  </si>
  <si>
    <t>Спреды сливочно-растительные</t>
  </si>
  <si>
    <t>10.51.40.110</t>
  </si>
  <si>
    <t>Сыры мягкие</t>
  </si>
  <si>
    <t>10.51.40.120</t>
  </si>
  <si>
    <t>Сыры полутвердые</t>
  </si>
  <si>
    <t>10.51.40.130</t>
  </si>
  <si>
    <t>Сыры твердые</t>
  </si>
  <si>
    <t>10.51.40.150</t>
  </si>
  <si>
    <t>Сыры сухие</t>
  </si>
  <si>
    <t>10.51.40.160</t>
  </si>
  <si>
    <t>Сыры рассольные</t>
  </si>
  <si>
    <t>10.51.40.170</t>
  </si>
  <si>
    <t>Сыры плавленые</t>
  </si>
  <si>
    <t>10.51.40.191</t>
  </si>
  <si>
    <t>Пасты сырные</t>
  </si>
  <si>
    <t>10.51.40.210</t>
  </si>
  <si>
    <t>Молокосодержащие продукты с заменителем молочного жира, произведенные по технологии сыра</t>
  </si>
  <si>
    <t>10.51.40.216</t>
  </si>
  <si>
    <t>Молокосодержащие продукты с заменителем молочного жира, произведенные по технологии сыра, рассольные, в том числе с вкусовыми компонентами</t>
  </si>
  <si>
    <t>10.51.40.300</t>
  </si>
  <si>
    <t>Творог</t>
  </si>
  <si>
    <t>10.51.51.110</t>
  </si>
  <si>
    <t>Молоко сгущенное (концентрированное)</t>
  </si>
  <si>
    <t>10.51.52.110</t>
  </si>
  <si>
    <t>Йогурт</t>
  </si>
  <si>
    <t>10.51.52.130</t>
  </si>
  <si>
    <t>Ряженка и варенец</t>
  </si>
  <si>
    <t>10.51.52.140</t>
  </si>
  <si>
    <t>Кефир</t>
  </si>
  <si>
    <t>10.51.52.200</t>
  </si>
  <si>
    <t>Сметана</t>
  </si>
  <si>
    <t>10.51.55</t>
  </si>
  <si>
    <t>Сыворотка</t>
  </si>
  <si>
    <t>10.51.56.100</t>
  </si>
  <si>
    <t>Продукты молочные, молочные составные, не включенные в другие группировки</t>
  </si>
  <si>
    <t>10.51.56.150</t>
  </si>
  <si>
    <t>Продукты на основе творога</t>
  </si>
  <si>
    <t>10.51.56.321</t>
  </si>
  <si>
    <t>Творожные и сметанные продукты, кремы, муссы, пасты, суфле молокосодержащие</t>
  </si>
  <si>
    <t>10.51.56.322</t>
  </si>
  <si>
    <t>Кремы,  муссы, пасты, суфле молокосодержащие с заменителем молочного жира</t>
  </si>
  <si>
    <t>10.51.56.400</t>
  </si>
  <si>
    <t>Продукты переработки молока и побочные продукты прочие</t>
  </si>
  <si>
    <t>10.52.10</t>
  </si>
  <si>
    <t>Мороженое</t>
  </si>
  <si>
    <t>Продукция мукомольно-крупяного производства, крахмалы и крахмалопродукты</t>
  </si>
  <si>
    <t>10.61.21.110</t>
  </si>
  <si>
    <t>Мука пшеничная</t>
  </si>
  <si>
    <t>10.61.21.113</t>
  </si>
  <si>
    <t xml:space="preserve">   из нее хлебопекарная высшего сорта</t>
  </si>
  <si>
    <t>10.61.21.114</t>
  </si>
  <si>
    <t xml:space="preserve">   из нее хлебопекарная первого сорта</t>
  </si>
  <si>
    <t>10.61.21.115</t>
  </si>
  <si>
    <t xml:space="preserve">   из нее хлебопекарная второго сорта</t>
  </si>
  <si>
    <t>10.61.21.116</t>
  </si>
  <si>
    <t xml:space="preserve">   из нее хлебопекарная обойная</t>
  </si>
  <si>
    <t>10.61.22.110</t>
  </si>
  <si>
    <t>Мука ржаная</t>
  </si>
  <si>
    <t>10.61.22.120</t>
  </si>
  <si>
    <t>Мука кукурузная</t>
  </si>
  <si>
    <t>10.61.22.130</t>
  </si>
  <si>
    <t>Мука рисовая</t>
  </si>
  <si>
    <t>10.61.22.140</t>
  </si>
  <si>
    <t>Мука ячменная</t>
  </si>
  <si>
    <t>10.61.22.150</t>
  </si>
  <si>
    <t>Мука гречневая</t>
  </si>
  <si>
    <t>10.61.22.160</t>
  </si>
  <si>
    <t>Мука овсяная</t>
  </si>
  <si>
    <t>10.61.22.170</t>
  </si>
  <si>
    <t>Мука соевая</t>
  </si>
  <si>
    <t>10.61.22.180</t>
  </si>
  <si>
    <t>Мука гороховая</t>
  </si>
  <si>
    <t>10.61.22.190</t>
  </si>
  <si>
    <t>Мука из прочих зерновых культур, не включенная в другие группировки</t>
  </si>
  <si>
    <t>10.61.31.110</t>
  </si>
  <si>
    <t>Крупа из пшеницы</t>
  </si>
  <si>
    <t>10.61.31.111</t>
  </si>
  <si>
    <t>Крупа манная</t>
  </si>
  <si>
    <t>10.61.32.111</t>
  </si>
  <si>
    <t>Крупа овсяная</t>
  </si>
  <si>
    <t>10.61.32.113</t>
  </si>
  <si>
    <t>Крупа гречневая</t>
  </si>
  <si>
    <t>10.61.32.114</t>
  </si>
  <si>
    <t>Пшено</t>
  </si>
  <si>
    <t>10.61.32.115</t>
  </si>
  <si>
    <t>Крупа ячневая</t>
  </si>
  <si>
    <t>10.61.32.116</t>
  </si>
  <si>
    <t>Крупа перловая</t>
  </si>
  <si>
    <t>10.61.32.117</t>
  </si>
  <si>
    <t>Крупа кукурузная</t>
  </si>
  <si>
    <t>10.61.32.119</t>
  </si>
  <si>
    <t>Крупа из прочих зерновых культур</t>
  </si>
  <si>
    <t>10.61.33.120</t>
  </si>
  <si>
    <t>Мука грубого помола из зерновых культур (кроме пшеницы), прочая</t>
  </si>
  <si>
    <t>10.61.4</t>
  </si>
  <si>
    <t>Отруби, высевки и прочие отходы от обработки зерновых культур</t>
  </si>
  <si>
    <t>10.61.40.000</t>
  </si>
  <si>
    <t>10.61.99.000</t>
  </si>
  <si>
    <t>Услуги по производству продукции мукомольно-крупяного производства отдельные</t>
  </si>
  <si>
    <t>тыс. руб.</t>
  </si>
  <si>
    <t>Изделия хлебобулочные и мучные кондитерские</t>
  </si>
  <si>
    <t>10.71.11.100</t>
  </si>
  <si>
    <t>Хлеб и хлебобулочные изделия недлительного хранения</t>
  </si>
  <si>
    <t>10.71.11.111</t>
  </si>
  <si>
    <t>10.71.11.112</t>
  </si>
  <si>
    <t>10.71.11.120</t>
  </si>
  <si>
    <t>10.71.11.130</t>
  </si>
  <si>
    <t>10.71.11.140</t>
  </si>
  <si>
    <t>10.71.11.150</t>
  </si>
  <si>
    <t>10.71.11.160</t>
  </si>
  <si>
    <t>10.71.12</t>
  </si>
  <si>
    <t>Изделия мучные кондитерские, торты и пирожные недлительного хранения</t>
  </si>
  <si>
    <t>10.71.12.110</t>
  </si>
  <si>
    <t xml:space="preserve">   из них торты</t>
  </si>
  <si>
    <t>10.71.12.120</t>
  </si>
  <si>
    <t xml:space="preserve">   из них пирожные</t>
  </si>
  <si>
    <t>10.71.12.190</t>
  </si>
  <si>
    <t xml:space="preserve">   из них изделия хлебобулочные недлительного хранения прочие</t>
  </si>
  <si>
    <t>10.72</t>
  </si>
  <si>
    <t>Изделия сухарные и печенье; мучные кондитерские изделия длительного хранения</t>
  </si>
  <si>
    <t>10.72.11.110</t>
  </si>
  <si>
    <t>10.72.11.120</t>
  </si>
  <si>
    <t>10.72.12.112</t>
  </si>
  <si>
    <t>10.72.12.114</t>
  </si>
  <si>
    <t>10.72.12.115</t>
  </si>
  <si>
    <t>10.72.12.120</t>
  </si>
  <si>
    <t>10.72.12.130</t>
  </si>
  <si>
    <t>10.72.12.140</t>
  </si>
  <si>
    <t>10.72.19.130</t>
  </si>
  <si>
    <t>10.72.19.140</t>
  </si>
  <si>
    <t>10.72.19.150</t>
  </si>
  <si>
    <t>10.73</t>
  </si>
  <si>
    <t>Изделия макаронные, кускус и аналогичные мучные изделия</t>
  </si>
  <si>
    <t>10.73.11.110</t>
  </si>
  <si>
    <t xml:space="preserve">   из них макаронные изделия</t>
  </si>
  <si>
    <t>Продукты пищевые прочие</t>
  </si>
  <si>
    <t>10.82.2</t>
  </si>
  <si>
    <t>Шоколад и кондитерские сахаристые изделия</t>
  </si>
  <si>
    <t>10.82.22.148</t>
  </si>
  <si>
    <t xml:space="preserve">   из них плоды, фрукты, ягоды, цукаты, глазированные шоколадной глазурью</t>
  </si>
  <si>
    <t>10.82.23.210</t>
  </si>
  <si>
    <t>Зефир</t>
  </si>
  <si>
    <t>10.82.24</t>
  </si>
  <si>
    <t>Фрукты, орехи, кожура фруктов и прочие части растений засахаренные</t>
  </si>
  <si>
    <t>10.83.1</t>
  </si>
  <si>
    <t>Чай и кофе обработанные</t>
  </si>
  <si>
    <t>10.83.15</t>
  </si>
  <si>
    <t>Настои из трав</t>
  </si>
  <si>
    <t>10.84.11.000</t>
  </si>
  <si>
    <t>Уксус и его заменители, получаемые из уксусной кислоты</t>
  </si>
  <si>
    <t>10.84.12.130</t>
  </si>
  <si>
    <t>Майонезы</t>
  </si>
  <si>
    <t>10.85.11</t>
  </si>
  <si>
    <t>Продукты пищевые готовые и блюда на основе мяса, мясных субпродуктов</t>
  </si>
  <si>
    <t>10.85.13</t>
  </si>
  <si>
    <t>Продукты пищевые готовые и блюда на основе овощей</t>
  </si>
  <si>
    <t>10.85.19</t>
  </si>
  <si>
    <t>Продукты пищевые готовые и блюда прочие (включая замороженную пиццу)</t>
  </si>
  <si>
    <t>10.89</t>
  </si>
  <si>
    <t>Продукты пищевые прочие, не включенные в другие группировки</t>
  </si>
  <si>
    <t>10.89.12.110</t>
  </si>
  <si>
    <t xml:space="preserve">   из них яйца без скорлупы, свежие или консервированные (меланж)</t>
  </si>
  <si>
    <t>10.89.12.141</t>
  </si>
  <si>
    <t xml:space="preserve">   из них желтки яичные пищевые сушеные</t>
  </si>
  <si>
    <t>10.89.12.143</t>
  </si>
  <si>
    <t xml:space="preserve">   из них желтки яичные мороженые</t>
  </si>
  <si>
    <t>10.89.19.170</t>
  </si>
  <si>
    <t>Мед искусственный</t>
  </si>
  <si>
    <t>10.91.1</t>
  </si>
  <si>
    <t>Корма готовые для сельскохозяйственных животных</t>
  </si>
  <si>
    <t>10.91.10.180</t>
  </si>
  <si>
    <t xml:space="preserve">   из них комбикорм</t>
  </si>
  <si>
    <t>10.92.1</t>
  </si>
  <si>
    <t>Корм готовый для непродуктивных животных</t>
  </si>
  <si>
    <t>10.92.10.100</t>
  </si>
  <si>
    <t xml:space="preserve">   из них сухой корм</t>
  </si>
  <si>
    <t>10.92.10.200</t>
  </si>
  <si>
    <t xml:space="preserve">   из них влажный корм</t>
  </si>
  <si>
    <t>11.0</t>
  </si>
  <si>
    <t>Напитки</t>
  </si>
  <si>
    <t>11.01.10.111</t>
  </si>
  <si>
    <t>Водка</t>
  </si>
  <si>
    <t>дал</t>
  </si>
  <si>
    <t>11.01.10.113</t>
  </si>
  <si>
    <t>Водка особая</t>
  </si>
  <si>
    <t>11.01.10.140</t>
  </si>
  <si>
    <t>Дивины</t>
  </si>
  <si>
    <t>11.01.10.144</t>
  </si>
  <si>
    <t xml:space="preserve">   из них коллекционный</t>
  </si>
  <si>
    <t>11.01.10.145</t>
  </si>
  <si>
    <t xml:space="preserve">    из них  особый</t>
  </si>
  <si>
    <t>11.01.10.160</t>
  </si>
  <si>
    <t>Бренди</t>
  </si>
  <si>
    <t>11.01.10.170</t>
  </si>
  <si>
    <t>Ромы</t>
  </si>
  <si>
    <t>11.01.10.180</t>
  </si>
  <si>
    <t>Виски</t>
  </si>
  <si>
    <t>11.01.10.190</t>
  </si>
  <si>
    <t>Спиртные напитки прочие</t>
  </si>
  <si>
    <t>11.01.10.200</t>
  </si>
  <si>
    <t>Ликероводочные изделия</t>
  </si>
  <si>
    <t>11.01.10.212</t>
  </si>
  <si>
    <t xml:space="preserve">   из них настойки крепостью до 25% включительно</t>
  </si>
  <si>
    <t>11.01.10.213</t>
  </si>
  <si>
    <t xml:space="preserve">   из них бальзамы крепостью до 25% включительно</t>
  </si>
  <si>
    <t>11.01.10.214</t>
  </si>
  <si>
    <t xml:space="preserve">   из них ликеры крепостью до 25% включительно</t>
  </si>
  <si>
    <t>11.01.10.222</t>
  </si>
  <si>
    <t xml:space="preserve">   из них настойки крепостью свыше 25%</t>
  </si>
  <si>
    <t>11.01.10.223</t>
  </si>
  <si>
    <t xml:space="preserve">  из них бальзамы крепостью свыше 25%</t>
  </si>
  <si>
    <t>11.01.10.224</t>
  </si>
  <si>
    <t xml:space="preserve">  из них ликеры крепостью свыше 25%</t>
  </si>
  <si>
    <t>11.01.10.225</t>
  </si>
  <si>
    <t xml:space="preserve">   из них джины крепостью свыше 25%</t>
  </si>
  <si>
    <t>11.01.10.300</t>
  </si>
  <si>
    <t>Спиртованные соки, морсы, настои, спиртосодержащие растворы</t>
  </si>
  <si>
    <t>11.01.10.400</t>
  </si>
  <si>
    <t>Слабоалкогольная продукция</t>
  </si>
  <si>
    <t>11.01.10.520</t>
  </si>
  <si>
    <t>Дистилляты винные</t>
  </si>
  <si>
    <t>11.01.10.530</t>
  </si>
  <si>
    <t>Дистиллят коньячный</t>
  </si>
  <si>
    <t>11.01.10.700</t>
  </si>
  <si>
    <t>Спирты этиловые из пищевого сырья</t>
  </si>
  <si>
    <t>11.02.11</t>
  </si>
  <si>
    <t>Вина игристые и газированные, в том числе из свежего винограда</t>
  </si>
  <si>
    <t>11.02.11.110</t>
  </si>
  <si>
    <t xml:space="preserve">   из них вина игристые</t>
  </si>
  <si>
    <t>11.02.11.120</t>
  </si>
  <si>
    <t xml:space="preserve">   из них вина газированные, в том числе из свежего винограда</t>
  </si>
  <si>
    <t>11.02.12</t>
  </si>
  <si>
    <t>Вина виноградные, кроме вин игристых и газированных; сусло виноградное</t>
  </si>
  <si>
    <t>11.02.12.111</t>
  </si>
  <si>
    <t xml:space="preserve">   из них вино столовое</t>
  </si>
  <si>
    <t>11.02.12.120</t>
  </si>
  <si>
    <t xml:space="preserve">   из них вина ликерные</t>
  </si>
  <si>
    <t>11.02.12.130</t>
  </si>
  <si>
    <t xml:space="preserve">   из них винные напитки</t>
  </si>
  <si>
    <t>11.02.12.140</t>
  </si>
  <si>
    <t>11.02.12.200</t>
  </si>
  <si>
    <t>Виноматериалы</t>
  </si>
  <si>
    <t>11.02.12.300</t>
  </si>
  <si>
    <t>Сусла виноградные</t>
  </si>
  <si>
    <t>11.03</t>
  </si>
  <si>
    <t>Сидр и прочие плодовые вина</t>
  </si>
  <si>
    <t>11.04.10</t>
  </si>
  <si>
    <t>Вермут и прочие ароматизированные виноградные вина</t>
  </si>
  <si>
    <t>11.05</t>
  </si>
  <si>
    <t>Пиво</t>
  </si>
  <si>
    <t>11.07.11</t>
  </si>
  <si>
    <t>11.07.11.110</t>
  </si>
  <si>
    <t xml:space="preserve">   из них воды минеральные природные питевые</t>
  </si>
  <si>
    <t>11.07.11.120</t>
  </si>
  <si>
    <t>11.07.19</t>
  </si>
  <si>
    <t>Напитки безалкогольные прочие</t>
  </si>
  <si>
    <t>11.07.19.120</t>
  </si>
  <si>
    <t xml:space="preserve">   из них напитки брожения</t>
  </si>
  <si>
    <t>11.07.19.130</t>
  </si>
  <si>
    <t>11.07.19.190</t>
  </si>
  <si>
    <t xml:space="preserve">   из них напитки безалкогольные прочие, не включенные в другие группировки</t>
  </si>
  <si>
    <t>12.0</t>
  </si>
  <si>
    <t>Изделия табачные</t>
  </si>
  <si>
    <t>12.00</t>
  </si>
  <si>
    <t>Текстиль и изделия текстильные</t>
  </si>
  <si>
    <t>13.10.61</t>
  </si>
  <si>
    <t>Пряжа хлопчатобумажная</t>
  </si>
  <si>
    <t>13.20.20.110</t>
  </si>
  <si>
    <t>Ткани хлопчатобумажные бытовые</t>
  </si>
  <si>
    <t>13.20.20.111</t>
  </si>
  <si>
    <t xml:space="preserve">   из них плательные</t>
  </si>
  <si>
    <t>13.20.20.112</t>
  </si>
  <si>
    <t xml:space="preserve">   из них сорочечные</t>
  </si>
  <si>
    <t>13.20.20.113</t>
  </si>
  <si>
    <t xml:space="preserve">   из них бельевые нательные</t>
  </si>
  <si>
    <t>13.20.20.114</t>
  </si>
  <si>
    <t xml:space="preserve">   из них бельевые постельные</t>
  </si>
  <si>
    <t>13.20.20.115</t>
  </si>
  <si>
    <t xml:space="preserve">   из них одежные</t>
  </si>
  <si>
    <t>13.20.20.119</t>
  </si>
  <si>
    <t xml:space="preserve">   из них прочие</t>
  </si>
  <si>
    <t>13.20.20.120</t>
  </si>
  <si>
    <t>Ткани хлопчатобумажные смешанные бытовые</t>
  </si>
  <si>
    <t>13.20.20.121</t>
  </si>
  <si>
    <t xml:space="preserve">   из них смешанные плательные</t>
  </si>
  <si>
    <t>13.20.20.122</t>
  </si>
  <si>
    <t xml:space="preserve">   из них смешанные сорочечные</t>
  </si>
  <si>
    <t>13.20.20.123</t>
  </si>
  <si>
    <t xml:space="preserve">   из них смешанные бельевые нательные</t>
  </si>
  <si>
    <t>13.20.20.124</t>
  </si>
  <si>
    <t xml:space="preserve">   из них смешанные бельевые постельные</t>
  </si>
  <si>
    <t>13.20.20.125</t>
  </si>
  <si>
    <t xml:space="preserve">   из них смешанные одежные</t>
  </si>
  <si>
    <t>13.20.20.129</t>
  </si>
  <si>
    <t xml:space="preserve">   из них смешанные прочие</t>
  </si>
  <si>
    <t>13.20.20.130</t>
  </si>
  <si>
    <t>Ткани хлопчатобумажные палаточные и плащевые</t>
  </si>
  <si>
    <t>13.20.20.190</t>
  </si>
  <si>
    <t>Ткани хлопчатобумажные прочие</t>
  </si>
  <si>
    <t>13.92</t>
  </si>
  <si>
    <t>Изделия текстильные готовые (кроме одежды)</t>
  </si>
  <si>
    <t xml:space="preserve">тыс. штук </t>
  </si>
  <si>
    <t>13.92.11.110</t>
  </si>
  <si>
    <t>Одеяла (кроме электрических одеял)</t>
  </si>
  <si>
    <t>13.92.11.120</t>
  </si>
  <si>
    <t>Пледы дорожные</t>
  </si>
  <si>
    <t>13.92.12.110</t>
  </si>
  <si>
    <t>Белье постельное из хлопчатобумажных тканей</t>
  </si>
  <si>
    <t>13.92.12.111</t>
  </si>
  <si>
    <t xml:space="preserve">   из них простыни из хлопчатобумажных тканей</t>
  </si>
  <si>
    <t>13.92.12.112</t>
  </si>
  <si>
    <t xml:space="preserve">   из них пододеяльники из хлопчатобумажных тканей</t>
  </si>
  <si>
    <t>13.92.12.113</t>
  </si>
  <si>
    <t xml:space="preserve">   из них наволочки из хлопчатобумажных тканей</t>
  </si>
  <si>
    <t>13.92.12.114</t>
  </si>
  <si>
    <t xml:space="preserve">   из них комплекты постельного белья из хлопчатобумажных тканей</t>
  </si>
  <si>
    <t>13.92.12.119</t>
  </si>
  <si>
    <t xml:space="preserve">   из них прочие из хлопчатобумажных тканей</t>
  </si>
  <si>
    <t>13.92.12.190</t>
  </si>
  <si>
    <t>Белье постельное из прочих тканей</t>
  </si>
  <si>
    <t>13.92.12.191</t>
  </si>
  <si>
    <t xml:space="preserve">   из них простыни из прочих тканей</t>
  </si>
  <si>
    <t>13.92.12.192</t>
  </si>
  <si>
    <t xml:space="preserve">   из них пододеяльники из прочихх тканей</t>
  </si>
  <si>
    <t>13.92.12.193</t>
  </si>
  <si>
    <t xml:space="preserve">   из них наволочки из прочих тканей</t>
  </si>
  <si>
    <t>13.92.12.194</t>
  </si>
  <si>
    <t xml:space="preserve">   из них комплекты постельного белья из прочих тканей</t>
  </si>
  <si>
    <t>13.92.12.199</t>
  </si>
  <si>
    <t xml:space="preserve">   из них прочие из прочих тканей</t>
  </si>
  <si>
    <t>13.92.13.110</t>
  </si>
  <si>
    <t>Белье столовое из хлопчатобумажных тканей</t>
  </si>
  <si>
    <t>13.92.13.190</t>
  </si>
  <si>
    <t>Белье столовое из прочих тканей</t>
  </si>
  <si>
    <t>13.92.14</t>
  </si>
  <si>
    <t>Белье туалетное и кухонное</t>
  </si>
  <si>
    <t>13.92.15</t>
  </si>
  <si>
    <t>Занавеси и шторы для интерьеров; занавеси и подзоры для кроватей</t>
  </si>
  <si>
    <t>13.92.2</t>
  </si>
  <si>
    <t>Изделия текстильные готовые прочие</t>
  </si>
  <si>
    <t>13.92.21</t>
  </si>
  <si>
    <t xml:space="preserve">   из них мешки</t>
  </si>
  <si>
    <t>13.92.24.110</t>
  </si>
  <si>
    <t xml:space="preserve">   из них одеяла стеганые</t>
  </si>
  <si>
    <t>13.92.24.120</t>
  </si>
  <si>
    <t xml:space="preserve">   из них одеяла стеганые детские</t>
  </si>
  <si>
    <t>13.92.24.130</t>
  </si>
  <si>
    <t xml:space="preserve">   из них пуфы</t>
  </si>
  <si>
    <t>13.92.24.140</t>
  </si>
  <si>
    <t xml:space="preserve">   из них подушки</t>
  </si>
  <si>
    <t>13.92.24.150</t>
  </si>
  <si>
    <t xml:space="preserve">   из них мешки спальные</t>
  </si>
  <si>
    <t>13.92.24.190</t>
  </si>
  <si>
    <t xml:space="preserve">  из них прочие</t>
  </si>
  <si>
    <t>13.94.1</t>
  </si>
  <si>
    <t>Канаты, веревки, шпагат и сети, кроме отходов</t>
  </si>
  <si>
    <t>Одежда</t>
  </si>
  <si>
    <t>14.11.10</t>
  </si>
  <si>
    <t>Одежда из натуральной или композиционной кожи</t>
  </si>
  <si>
    <t>штук</t>
  </si>
  <si>
    <t>14.11.10.110</t>
  </si>
  <si>
    <t xml:space="preserve">   из них мужская из кожи</t>
  </si>
  <si>
    <t>14.11.10.120</t>
  </si>
  <si>
    <t xml:space="preserve">   из них женская из кожи</t>
  </si>
  <si>
    <t>14.11.10.130</t>
  </si>
  <si>
    <t xml:space="preserve">   из них детская из кожи</t>
  </si>
  <si>
    <t>14.11.10.190</t>
  </si>
  <si>
    <t xml:space="preserve">   из них прочая, не включенная в другие группировки</t>
  </si>
  <si>
    <t>14.12.1</t>
  </si>
  <si>
    <t>Спецодежда мужская</t>
  </si>
  <si>
    <t>14.12.11.110</t>
  </si>
  <si>
    <t xml:space="preserve">   из них комплекты мужские производственные и профессиональные</t>
  </si>
  <si>
    <t>14.12.11.120</t>
  </si>
  <si>
    <t xml:space="preserve">   из них костюмы мужские производственные и профессиональные</t>
  </si>
  <si>
    <t>14.12.11.130</t>
  </si>
  <si>
    <t xml:space="preserve">   из них куртки (пиджаки) и блейзеры мужские производственные и профессиональные</t>
  </si>
  <si>
    <t>14.12.12.110</t>
  </si>
  <si>
    <t xml:space="preserve">   из них брюки мужские производственные и профессиональные</t>
  </si>
  <si>
    <t>14.12.12.120</t>
  </si>
  <si>
    <t xml:space="preserve">   из них комбинезоны мужские с нагрудниками и лямками (полукомбинезоны)</t>
  </si>
  <si>
    <t>14.12.12.130</t>
  </si>
  <si>
    <t xml:space="preserve">   из них бриджи и шорты мужские производственные и профессиональные</t>
  </si>
  <si>
    <t>14.12.2</t>
  </si>
  <si>
    <t>Спецодежда женская</t>
  </si>
  <si>
    <t>14.12.21.110</t>
  </si>
  <si>
    <t xml:space="preserve">   из них комплекты женские производственные и профессиональные</t>
  </si>
  <si>
    <t>14.12.21.120</t>
  </si>
  <si>
    <t xml:space="preserve">   из них костюмы женские производственные и профессиональные</t>
  </si>
  <si>
    <t>14.12.21.130</t>
  </si>
  <si>
    <t xml:space="preserve">   из них куртки (жакеты) и блейзеры женские производственные и профессиональные</t>
  </si>
  <si>
    <t>14.12.22.110</t>
  </si>
  <si>
    <t xml:space="preserve">   из них брюки женские производственные и профессиональные</t>
  </si>
  <si>
    <t>14.12.22.120</t>
  </si>
  <si>
    <t xml:space="preserve">   из них комбинезоны с нагрудниками и лямками (полукомбинезоны) женские </t>
  </si>
  <si>
    <t>14.12.22.130</t>
  </si>
  <si>
    <t xml:space="preserve">   из них бриджи и шорты женские производственные и профессиональные</t>
  </si>
  <si>
    <t>14.12.30</t>
  </si>
  <si>
    <t>Спецодежда прочая</t>
  </si>
  <si>
    <t>14.12.30.110</t>
  </si>
  <si>
    <t xml:space="preserve">   из них пальто, полупальто и плащи производственные и профессиональные</t>
  </si>
  <si>
    <t>14.12.30.130</t>
  </si>
  <si>
    <t xml:space="preserve">   из них юбки, халаты, блузки, фартуки, жилеты, платья и сорочки производ. и профес.</t>
  </si>
  <si>
    <t>14.12.30.150</t>
  </si>
  <si>
    <t xml:space="preserve">    из них рукавицы, перчатки производственные и профессиональные</t>
  </si>
  <si>
    <t>14.12.30.170</t>
  </si>
  <si>
    <t xml:space="preserve">    из них одежда для поддержания физической формы</t>
  </si>
  <si>
    <t>14.12.30.190</t>
  </si>
  <si>
    <t>14.13.1</t>
  </si>
  <si>
    <t>Одежда верхняя трикотажная или вязаная</t>
  </si>
  <si>
    <t>14.13.11.110</t>
  </si>
  <si>
    <t xml:space="preserve">   из них пальто, полупальто мужские или для мальчиков </t>
  </si>
  <si>
    <t>14.13.11.120</t>
  </si>
  <si>
    <t xml:space="preserve">   из них куртки мужские или для мальчиков </t>
  </si>
  <si>
    <t>14.13.11.130</t>
  </si>
  <si>
    <t xml:space="preserve">   из них плащи, плащи с капюшонами мужские или для мальчиков </t>
  </si>
  <si>
    <t>14.13.11.140</t>
  </si>
  <si>
    <t xml:space="preserve">   из них анораки, ветровки и аналогичные изделия мужские или для мальчиков </t>
  </si>
  <si>
    <t>14.13.12.110</t>
  </si>
  <si>
    <t xml:space="preserve">   из них костюмы мужские или для мальчиков</t>
  </si>
  <si>
    <t xml:space="preserve">14.13.12.120  </t>
  </si>
  <si>
    <t xml:space="preserve">   из них комплекты мужские или для мальчиков </t>
  </si>
  <si>
    <t>14.13.12.130</t>
  </si>
  <si>
    <t xml:space="preserve">   из них пиджаки и блейзеры мужские или для мальчиков </t>
  </si>
  <si>
    <t>14.13.12.140</t>
  </si>
  <si>
    <t xml:space="preserve">   из них брюки мужские или для мальчиков</t>
  </si>
  <si>
    <t>14.13.12.150</t>
  </si>
  <si>
    <t xml:space="preserve">   из них комбинезоны с нагрудниками и лямками мужские или для мальчиков</t>
  </si>
  <si>
    <t>14.13.12.160</t>
  </si>
  <si>
    <t xml:space="preserve">   из них бриджи и шорты мужские или для мальчиков</t>
  </si>
  <si>
    <t>14.13.13.110</t>
  </si>
  <si>
    <t xml:space="preserve">   из них пальто, полупальто женские или для девочек</t>
  </si>
  <si>
    <t>14.13.13.120</t>
  </si>
  <si>
    <t xml:space="preserve">   из них куртки женские или для девочек </t>
  </si>
  <si>
    <t>14.13.13.130</t>
  </si>
  <si>
    <t xml:space="preserve">   из них плащи, плащи с капюшонами женские или для девочек</t>
  </si>
  <si>
    <t>14.13.13.140</t>
  </si>
  <si>
    <t xml:space="preserve">   из них анораки, ветровки и аналогичные изделия женские или для девочек</t>
  </si>
  <si>
    <t>14.13.14.110</t>
  </si>
  <si>
    <t xml:space="preserve">   из них костюмы женские или для девочек</t>
  </si>
  <si>
    <t>14.13.14.120</t>
  </si>
  <si>
    <t xml:space="preserve">   из них комплекты женские или для девочек трикотажные или вязаные</t>
  </si>
  <si>
    <t>14.13.14.130</t>
  </si>
  <si>
    <t xml:space="preserve">   из них жакеты и блейзеры женские или для девочек</t>
  </si>
  <si>
    <t>14.13.14.140</t>
  </si>
  <si>
    <t xml:space="preserve">    из них платья женские или для девочек </t>
  </si>
  <si>
    <t>14.13.14.150</t>
  </si>
  <si>
    <t xml:space="preserve">   из них юбки, юбки-брюки женские или для девочек </t>
  </si>
  <si>
    <t>14.13.14.160</t>
  </si>
  <si>
    <t xml:space="preserve">   из них брюки женские или для девочек </t>
  </si>
  <si>
    <t>14.13.14.170</t>
  </si>
  <si>
    <t xml:space="preserve">   из них комбинезоны с нагрудниками и лямками женские или для девочек</t>
  </si>
  <si>
    <t>14.13.14.180</t>
  </si>
  <si>
    <t xml:space="preserve">    из ни бриджи и шорты женские или для девочек</t>
  </si>
  <si>
    <t>14.13.2</t>
  </si>
  <si>
    <t>Одежда верхняя прочая мужская или для мальчиков</t>
  </si>
  <si>
    <t>14.13.21.110</t>
  </si>
  <si>
    <t xml:space="preserve">   из них пальто и полупальто мужские или для мальчиков из текстильных материалов</t>
  </si>
  <si>
    <t>14.13.21.120</t>
  </si>
  <si>
    <t xml:space="preserve">   из них куртки мужские или для мальчиков из текстильных материалов</t>
  </si>
  <si>
    <t>14.13.21.130</t>
  </si>
  <si>
    <t xml:space="preserve">   из них плащи, плащи с капюшонами мужские или для мальчиков из текст. материалов</t>
  </si>
  <si>
    <t>14.13.21.140</t>
  </si>
  <si>
    <t xml:space="preserve">   из них анораки, ветровки мужские или для мальчиков из текстильных материалов </t>
  </si>
  <si>
    <t>14.13.22.110</t>
  </si>
  <si>
    <t xml:space="preserve">   из них костюмы мужские или для мальчиков из текстильных материалов</t>
  </si>
  <si>
    <t>14.13.22.120</t>
  </si>
  <si>
    <t xml:space="preserve">   из них комплекты мужские или для мальчиков из текстильных материалов</t>
  </si>
  <si>
    <t>14.13.23.000</t>
  </si>
  <si>
    <t xml:space="preserve">   из них пиджаки и блейзеры мужские или для мальчиков из текстильных материалов</t>
  </si>
  <si>
    <t>14.13.24.110</t>
  </si>
  <si>
    <t xml:space="preserve">   из них брюки мужские или для мальчиков из текстильных материалов</t>
  </si>
  <si>
    <t>14.13.24.120</t>
  </si>
  <si>
    <t xml:space="preserve">   из них комбинезоны с нагрудниками и лямками мужские или для мальчиков </t>
  </si>
  <si>
    <t>14.13.24.130</t>
  </si>
  <si>
    <t xml:space="preserve">   из них бриджи и шорты мужские или для мальчиков из текстильных материалов</t>
  </si>
  <si>
    <t>14.13.3</t>
  </si>
  <si>
    <t>Одежда верхняя прочая женская или для девочек</t>
  </si>
  <si>
    <t>14.13.31.110</t>
  </si>
  <si>
    <t xml:space="preserve">   из них пальто, полупальто женские или для девочек из текстильных материалов</t>
  </si>
  <si>
    <t>14.13.31.120</t>
  </si>
  <si>
    <t xml:space="preserve">   из них куртки женские или для девочек из текстильных материалов</t>
  </si>
  <si>
    <t>14.13.31.130</t>
  </si>
  <si>
    <t xml:space="preserve">   из них плащи, плащи с капюшонами женские или для девочек из текст. материалов</t>
  </si>
  <si>
    <t>14.13.31.140</t>
  </si>
  <si>
    <t xml:space="preserve">   из них анораки, ветровки женские или для девочек из текстильных материалов</t>
  </si>
  <si>
    <t>14.13.32.110</t>
  </si>
  <si>
    <t xml:space="preserve">   из них костюмы женские или для девочек из текстильных материалов</t>
  </si>
  <si>
    <t>14.13.32.120</t>
  </si>
  <si>
    <t xml:space="preserve">   из них комплекты женские или для девочек из текстильных материалов</t>
  </si>
  <si>
    <t>14.13.33.000</t>
  </si>
  <si>
    <t xml:space="preserve">   из них жакеты и блейзеры женские или для девочек из текстильных материалов</t>
  </si>
  <si>
    <t>14.13.34.110</t>
  </si>
  <si>
    <t xml:space="preserve">   из них платья женские или для девочек из текстильных материалов</t>
  </si>
  <si>
    <t>14.13.34.120</t>
  </si>
  <si>
    <t xml:space="preserve">   из них юбки и юбки-брюки женские или для девочек из текст. материалов</t>
  </si>
  <si>
    <t>14.13.35.110</t>
  </si>
  <si>
    <t xml:space="preserve">   из них брюки женские или для девочек из текстильных материалов</t>
  </si>
  <si>
    <t>14.13.35.120</t>
  </si>
  <si>
    <t>14.13.35.130</t>
  </si>
  <si>
    <t xml:space="preserve">   из них бриджи и шорты женские или для девочек из текстильных материалов</t>
  </si>
  <si>
    <t>14.13.99</t>
  </si>
  <si>
    <t>Услуги по производству верхней одежды</t>
  </si>
  <si>
    <t>14.14.1</t>
  </si>
  <si>
    <t>Белье нательное трикотажное или вязаное</t>
  </si>
  <si>
    <t>14.14.11</t>
  </si>
  <si>
    <t xml:space="preserve">   из них рубашки мужские или для мальчиков</t>
  </si>
  <si>
    <t>14.14.12.110</t>
  </si>
  <si>
    <t xml:space="preserve">   из них кальсоны мужские или для мальчиков </t>
  </si>
  <si>
    <t>14.14.12.120</t>
  </si>
  <si>
    <t xml:space="preserve">   из них трусы мужские или для мальчиков</t>
  </si>
  <si>
    <t>14.14.12.130</t>
  </si>
  <si>
    <t xml:space="preserve">   из них рубашки ночные, пижамы мужские или для мальчиков </t>
  </si>
  <si>
    <t>14.14.12.140</t>
  </si>
  <si>
    <t xml:space="preserve">   из них халаты и аналогичные изделия мужские или для мальчиков </t>
  </si>
  <si>
    <t>14.14.13.110</t>
  </si>
  <si>
    <t xml:space="preserve">   из них блузки женские или для девочек </t>
  </si>
  <si>
    <t>14.14.13.120</t>
  </si>
  <si>
    <t xml:space="preserve">   из них рубашки и батники женские или для девочек</t>
  </si>
  <si>
    <t>14.14.14.110</t>
  </si>
  <si>
    <t xml:space="preserve">   из них комбинации и юбки нижние женские или для девочек</t>
  </si>
  <si>
    <t>14.14.14.120</t>
  </si>
  <si>
    <t xml:space="preserve">    из них трусы и панталоны женские или для девочек </t>
  </si>
  <si>
    <t>14.14.14.130</t>
  </si>
  <si>
    <t xml:space="preserve">   из них рубашки ночные, пижамы женские или для девочек</t>
  </si>
  <si>
    <t>14.14.14.140</t>
  </si>
  <si>
    <t xml:space="preserve">   из них халаты домашние и купальные, пеньюары и аналогичные изделия женские </t>
  </si>
  <si>
    <t>14.14.21</t>
  </si>
  <si>
    <t>Рубашки мужские или для мальчиков из текстильных материалов</t>
  </si>
  <si>
    <t>14.14.22</t>
  </si>
  <si>
    <t>Майки и прочие нижние рубашки, кальсоны, трусы, пижамы, халаты купальные и халаты домашние мужские или для мальчиков из текстильных материалов</t>
  </si>
  <si>
    <t>14.14.23</t>
  </si>
  <si>
    <t>Блузки, рубашки и батники женские или для девочек из текстильных материалов</t>
  </si>
  <si>
    <t>14.14.24</t>
  </si>
  <si>
    <t>14.14.25</t>
  </si>
  <si>
    <t>14.14.30</t>
  </si>
  <si>
    <t>Футболки, майки и прочие нижние рубашки трикотажные или вязаные</t>
  </si>
  <si>
    <t>14.14.9</t>
  </si>
  <si>
    <t>Услуги по производству нательного белья</t>
  </si>
  <si>
    <t xml:space="preserve">тыс. руб. </t>
  </si>
  <si>
    <t>14.19.1</t>
  </si>
  <si>
    <t>14.19.2</t>
  </si>
  <si>
    <t>14.19.13</t>
  </si>
  <si>
    <t>Перчатки, рукавицы (варежки) и митенки трикотажные или вязаные</t>
  </si>
  <si>
    <t>14.19.19</t>
  </si>
  <si>
    <t>14.19.21</t>
  </si>
  <si>
    <t>Одежда для детей младшего возраста и аксессуары одежды из текстильных материалов</t>
  </si>
  <si>
    <t>14.19.22</t>
  </si>
  <si>
    <t>14.19.23</t>
  </si>
  <si>
    <t>14.19.3</t>
  </si>
  <si>
    <t>14.19.4</t>
  </si>
  <si>
    <t>Шляпы и прочие головные уборы</t>
  </si>
  <si>
    <t>14.19.99</t>
  </si>
  <si>
    <t>Услуги по производству прочей одежды и аксессуаров</t>
  </si>
  <si>
    <t>14.20</t>
  </si>
  <si>
    <t>Изделия меховые</t>
  </si>
  <si>
    <t>14.31</t>
  </si>
  <si>
    <t>Изделия чулочно-носочные трикотажные или вязаные</t>
  </si>
  <si>
    <t>14.39</t>
  </si>
  <si>
    <t>Предметы одежды трикотажные и вязаные прочие</t>
  </si>
  <si>
    <t>Кожа и изделия из кожи</t>
  </si>
  <si>
    <t>15.11</t>
  </si>
  <si>
    <t>Кожа дубленая и выделанная; меха выделанные и окрашенные</t>
  </si>
  <si>
    <t>15.12.11</t>
  </si>
  <si>
    <t>Изделия шорно-седельные и упряжь; чемоданы, сумки дамские и аналогичные изделия; прочие изделия из кожи</t>
  </si>
  <si>
    <t>15.12.12</t>
  </si>
  <si>
    <t>Чемоданы, сумки дамские и аналогичные изделия из натуральной кожи, сочетаний кожи, листов пластмассы, текстильных материалов</t>
  </si>
  <si>
    <t>15.12.13</t>
  </si>
  <si>
    <t>Ремешки (кроме металлических), ленты и браслеты для наручных часов и их части</t>
  </si>
  <si>
    <t>15.12.19</t>
  </si>
  <si>
    <t>Изделия прочие из натуральной кожи или композиционной кожи, не включенные в другие группировки</t>
  </si>
  <si>
    <t>Обувь</t>
  </si>
  <si>
    <t>15.20.11</t>
  </si>
  <si>
    <t>15.20.11.110</t>
  </si>
  <si>
    <t>15.20.11.120</t>
  </si>
  <si>
    <t>15.20.11.130</t>
  </si>
  <si>
    <t>15.20.12</t>
  </si>
  <si>
    <t>15.20.12.110</t>
  </si>
  <si>
    <t>15.20.12.120</t>
  </si>
  <si>
    <t>15.20.12.130</t>
  </si>
  <si>
    <t>15.20.13</t>
  </si>
  <si>
    <t>15.20.13.130</t>
  </si>
  <si>
    <t>15.20.13.140</t>
  </si>
  <si>
    <t>15.20.13.150</t>
  </si>
  <si>
    <t>15.20.13.160</t>
  </si>
  <si>
    <t>15.20.13.170</t>
  </si>
  <si>
    <t>15.20.13.190</t>
  </si>
  <si>
    <t>15.20.14.110</t>
  </si>
  <si>
    <t>15.20.14.141</t>
  </si>
  <si>
    <t>15.20.14.142</t>
  </si>
  <si>
    <t>15.20.2</t>
  </si>
  <si>
    <t>Обувь спортивная</t>
  </si>
  <si>
    <t>15.20.3</t>
  </si>
  <si>
    <t>Обувь защитная и прочая, не включенная в другие группировки</t>
  </si>
  <si>
    <t>15.20.31</t>
  </si>
  <si>
    <t xml:space="preserve">   из них с защитным металлическим подноском</t>
  </si>
  <si>
    <t>15.20.32</t>
  </si>
  <si>
    <t xml:space="preserve">   из них деревянная, различная специальная и прочая</t>
  </si>
  <si>
    <t>15.20.40.110</t>
  </si>
  <si>
    <t>Детали обуви из кожи</t>
  </si>
  <si>
    <t>15.20.40.120</t>
  </si>
  <si>
    <t>Стельки вкладные, подпятники и аналогичные изделия</t>
  </si>
  <si>
    <t>Древесина и изделия из дерева и пробки, кроме мебели; изделия из соломки и материалов для плетения</t>
  </si>
  <si>
    <t>Лесоматериалы, распиленные и строганые</t>
  </si>
  <si>
    <t>16.10.10.110</t>
  </si>
  <si>
    <t>Пиломатериалы хвойных пород</t>
  </si>
  <si>
    <t>16.10.10.120</t>
  </si>
  <si>
    <t>Пиломатериалы лиственных пород</t>
  </si>
  <si>
    <t>16.10.21.110</t>
  </si>
  <si>
    <t>Пиломатериалы хвойные профилированные</t>
  </si>
  <si>
    <t>16.10.21.120</t>
  </si>
  <si>
    <t>Пиломатериалы лиственные профилированные</t>
  </si>
  <si>
    <t>16.10.23.110</t>
  </si>
  <si>
    <t>Щепа древесная</t>
  </si>
  <si>
    <t>16.10.23.120</t>
  </si>
  <si>
    <t>Стружка древесная</t>
  </si>
  <si>
    <t>16.10.31</t>
  </si>
  <si>
    <r>
      <t>плотн. м</t>
    </r>
    <r>
      <rPr>
        <vertAlign val="superscript"/>
        <sz val="9"/>
        <rFont val="Times New Roman"/>
        <family val="1"/>
        <charset val="204"/>
      </rPr>
      <t>3</t>
    </r>
  </si>
  <si>
    <t>16.10.39</t>
  </si>
  <si>
    <t>Лесоматериалы необработанные прочие, включая расщепленные бревна и колья</t>
  </si>
  <si>
    <t>Изделия из дерева, пробки, соломки и материалов для плетения</t>
  </si>
  <si>
    <t>16.23.11.110</t>
  </si>
  <si>
    <t>Окна и их коробки деревянные</t>
  </si>
  <si>
    <r>
      <t>м</t>
    </r>
    <r>
      <rPr>
        <vertAlign val="superscript"/>
        <sz val="9"/>
        <rFont val="Times New Roman"/>
        <family val="1"/>
        <charset val="204"/>
      </rPr>
      <t>2</t>
    </r>
  </si>
  <si>
    <t>16.23.11.120</t>
  </si>
  <si>
    <t>Двери балконные и их коробки деревянные</t>
  </si>
  <si>
    <t>16.23.11.130</t>
  </si>
  <si>
    <t>Двери, их коробки и пороги деревянные</t>
  </si>
  <si>
    <t>16.23.12</t>
  </si>
  <si>
    <t>Опалубка для бетонных строительных работ, гонт и дранка деревянные</t>
  </si>
  <si>
    <t>16.23.19</t>
  </si>
  <si>
    <t>Изделия деревянные строительные и столярные, не включенные в другие группировки</t>
  </si>
  <si>
    <t>16.24.1</t>
  </si>
  <si>
    <t>Тара деревянная</t>
  </si>
  <si>
    <t>16.24.11.110</t>
  </si>
  <si>
    <t xml:space="preserve">   из нее поддоны деревянные, включая поддоны с бортами</t>
  </si>
  <si>
    <t>16.24.11.190</t>
  </si>
  <si>
    <t xml:space="preserve">   из нее щиты прочие деревянные погрузочные</t>
  </si>
  <si>
    <t>16.24.13.110</t>
  </si>
  <si>
    <t xml:space="preserve">   из нее ящики деревянные</t>
  </si>
  <si>
    <t>16.24.13.130</t>
  </si>
  <si>
    <t xml:space="preserve">   из нее клинья</t>
  </si>
  <si>
    <t>16.24.13.142</t>
  </si>
  <si>
    <t xml:space="preserve">   из нее барабаны деревянные для электрических кабелей и проводов</t>
  </si>
  <si>
    <t>16.24.13.146</t>
  </si>
  <si>
    <t xml:space="preserve">   из нее катушки деревянные для проволоки и проводов малых сечений</t>
  </si>
  <si>
    <t>16.24.13.190</t>
  </si>
  <si>
    <t xml:space="preserve">   из них тара деревянная прочая и ее части</t>
  </si>
  <si>
    <t>16.29.14.190</t>
  </si>
  <si>
    <t>Изделия прочие из дерева</t>
  </si>
  <si>
    <t>Изделия из бумаги и картона</t>
  </si>
  <si>
    <t>17.21.11</t>
  </si>
  <si>
    <t>Картон гофрированный в рулонах или листах</t>
  </si>
  <si>
    <t>17.21.12</t>
  </si>
  <si>
    <t>Мешки и сумки бумажные</t>
  </si>
  <si>
    <t>тыс. штук</t>
  </si>
  <si>
    <t>17.21.13</t>
  </si>
  <si>
    <t>Ящики и коробки из гофрированной бумаги или гофрированного картона</t>
  </si>
  <si>
    <t>17.21.14</t>
  </si>
  <si>
    <t>17.21.15</t>
  </si>
  <si>
    <t>Коробки для картотек, лотки для писем и аналогичные изделия, из бумаги</t>
  </si>
  <si>
    <t>17.22.11.110</t>
  </si>
  <si>
    <t>Бумага туалетная из бумажной массы, бумаги и полотна из целлюлозных волокон</t>
  </si>
  <si>
    <t>17.22.11.120</t>
  </si>
  <si>
    <t>Платки носовые из бумажной массы, бумаги</t>
  </si>
  <si>
    <t>17.22.11.130</t>
  </si>
  <si>
    <t>Салфетки и полотенца гигиенические или косметические из бумажной массы</t>
  </si>
  <si>
    <t>17.23.12</t>
  </si>
  <si>
    <t>17.23.13.110</t>
  </si>
  <si>
    <t>17.23.13.130</t>
  </si>
  <si>
    <t>Скоросшиватели (папки) из бумаги или картона</t>
  </si>
  <si>
    <t>17.23.13.140</t>
  </si>
  <si>
    <t>Бланки из бумаги или картона (листов-оттисков)</t>
  </si>
  <si>
    <t>17.23.13.192</t>
  </si>
  <si>
    <t>Альбомы и папки с бумагой (включая блоки)</t>
  </si>
  <si>
    <t>17.23.13.194</t>
  </si>
  <si>
    <t>Тетради школьные ученические</t>
  </si>
  <si>
    <t>17.23.13.195</t>
  </si>
  <si>
    <t>Тетради общие</t>
  </si>
  <si>
    <t>17.23.13.199</t>
  </si>
  <si>
    <t>Принадлежности канцелярские прочие, не включенные в другие группировки</t>
  </si>
  <si>
    <t>17.29.11</t>
  </si>
  <si>
    <t>Ярлыки и этикетки из бумаги или картона (листов-оттисков)</t>
  </si>
  <si>
    <t>17.29.12</t>
  </si>
  <si>
    <t>Блоки, плиты и пластины фильтровальные из бумажной массы</t>
  </si>
  <si>
    <t>17.29.19</t>
  </si>
  <si>
    <t>Бумага папиросная; бобины, катушки, прочие, не включенные в другие группировки</t>
  </si>
  <si>
    <t>Услуги полиграфические и услуги, связанные с печатанием</t>
  </si>
  <si>
    <t>18.11.10.000</t>
  </si>
  <si>
    <t xml:space="preserve">Услуги по печатанию газет </t>
  </si>
  <si>
    <t>18.12.13.000</t>
  </si>
  <si>
    <t>Услуги по печатанию журналов и периодических изданий</t>
  </si>
  <si>
    <t>18.12.14.000</t>
  </si>
  <si>
    <t>Услуги по печатанию книг, географических карт, гидрографических или аналогичных карт всех видов, репродукций, чертежей и фотографий, открыток</t>
  </si>
  <si>
    <t>18.12.15.000</t>
  </si>
  <si>
    <t>Услуги по печатанию этикеток и ярлыков</t>
  </si>
  <si>
    <t>18.12.19.110</t>
  </si>
  <si>
    <t>Услуги по печатанию брошюр</t>
  </si>
  <si>
    <t>18.12.19.190</t>
  </si>
  <si>
    <t>Услуги печатные прочие, не включенные в другие группировки</t>
  </si>
  <si>
    <t>18.14.10.100</t>
  </si>
  <si>
    <t>Услуги переплетные и связанные с переплетом и отделкой книг</t>
  </si>
  <si>
    <t>Вещества химические и продукты химические</t>
  </si>
  <si>
    <t>20.11</t>
  </si>
  <si>
    <t>Газы промышленные</t>
  </si>
  <si>
    <t>20.11.11.121</t>
  </si>
  <si>
    <t>Аргон газообразный</t>
  </si>
  <si>
    <t>20.11.11.122</t>
  </si>
  <si>
    <t>Аргон жидкий</t>
  </si>
  <si>
    <t>20.11.11.141</t>
  </si>
  <si>
    <t>Азот газообразный</t>
  </si>
  <si>
    <t>20.11.11.142</t>
  </si>
  <si>
    <t>Азот жидкий</t>
  </si>
  <si>
    <t>20.11.11.151</t>
  </si>
  <si>
    <t>Кислород газообразный</t>
  </si>
  <si>
    <t>20.11.11.152</t>
  </si>
  <si>
    <t>Кислород жидкий</t>
  </si>
  <si>
    <t>20.13.52.120</t>
  </si>
  <si>
    <t>Вода дистиллированная</t>
  </si>
  <si>
    <t>20.14.72</t>
  </si>
  <si>
    <t>Уголь древесный</t>
  </si>
  <si>
    <t>20.15.3</t>
  </si>
  <si>
    <t>Удобрения азотные минеральные или химические</t>
  </si>
  <si>
    <t>20.15.4</t>
  </si>
  <si>
    <t>Удобрения фосфорные минеральные или химические</t>
  </si>
  <si>
    <t>20.15.5</t>
  </si>
  <si>
    <t>Удобрения калийные минеральные или химические</t>
  </si>
  <si>
    <t>20.15.79</t>
  </si>
  <si>
    <t>20.16</t>
  </si>
  <si>
    <t>Пластмассы в первичных формах</t>
  </si>
  <si>
    <t>20.20.1</t>
  </si>
  <si>
    <t>Пестициды и агрохимические продукты прочие</t>
  </si>
  <si>
    <t>Материалы лакокрасочные и аналогичные для нанесения покрытий, полиграфические краски и мастики</t>
  </si>
  <si>
    <t>20.30.11.110</t>
  </si>
  <si>
    <t>Лаки на основе акриловых или виниловых полимеров в водной среде</t>
  </si>
  <si>
    <t>20.30.11.120</t>
  </si>
  <si>
    <t>Краски на основе акриловых или виниловых полимеров в водной среде</t>
  </si>
  <si>
    <t>20.30.11.130</t>
  </si>
  <si>
    <t>Грунтовки на основе акриловых или виниловых полимеров в водной среде</t>
  </si>
  <si>
    <t>20.30.12.110</t>
  </si>
  <si>
    <t>20.30.12.120</t>
  </si>
  <si>
    <t>20.30.12.140</t>
  </si>
  <si>
    <t>20.30.22.120</t>
  </si>
  <si>
    <t>Шпатлевки</t>
  </si>
  <si>
    <t>Мыло и средства моющие, средства чистящие и полирующие, средства парфюмерные и косметические</t>
  </si>
  <si>
    <t>20.41.31.110</t>
  </si>
  <si>
    <t>Мыло туалетное твердое</t>
  </si>
  <si>
    <t>20.41.31.120</t>
  </si>
  <si>
    <t>Мыло хозяйственное твердое</t>
  </si>
  <si>
    <t>20.41.31.130</t>
  </si>
  <si>
    <t>Мыло туалетное жидкое</t>
  </si>
  <si>
    <t>20.41.31.140</t>
  </si>
  <si>
    <t>Мыло хозяйственное жидкое</t>
  </si>
  <si>
    <t>20.41.32.110</t>
  </si>
  <si>
    <t>Средства моющие</t>
  </si>
  <si>
    <t>20.41.44.120</t>
  </si>
  <si>
    <t>Средства стиральные</t>
  </si>
  <si>
    <t>Продукты химические прочие</t>
  </si>
  <si>
    <t>20.54.10</t>
  </si>
  <si>
    <t xml:space="preserve">Синтетические смолы и пластмассы  </t>
  </si>
  <si>
    <t>20.54.21</t>
  </si>
  <si>
    <t xml:space="preserve">Слоистые пластики на основе ткани </t>
  </si>
  <si>
    <t>20.54.22</t>
  </si>
  <si>
    <t>Слоистые пластики на основе бумаги</t>
  </si>
  <si>
    <t>20.54.31</t>
  </si>
  <si>
    <t>Стеклопластики</t>
  </si>
  <si>
    <t>20.54.32</t>
  </si>
  <si>
    <t>Стеклоткань прокладочная</t>
  </si>
  <si>
    <t>20.54.33</t>
  </si>
  <si>
    <t>Препрег</t>
  </si>
  <si>
    <t>20.55</t>
  </si>
  <si>
    <t>Электроизоляционные материалы (диэлектрики, изоляторы)</t>
  </si>
  <si>
    <t>20.56</t>
  </si>
  <si>
    <t>Бумага лакированная пропитанная</t>
  </si>
  <si>
    <t>20.57</t>
  </si>
  <si>
    <t>Лаки</t>
  </si>
  <si>
    <t>20.58.10</t>
  </si>
  <si>
    <t>Препараты лекарственные и материалы, применяемые в медицинских целях</t>
  </si>
  <si>
    <t>21.2</t>
  </si>
  <si>
    <t>21.20.10.158</t>
  </si>
  <si>
    <t>Антисептики и дезинфицирующие препараты</t>
  </si>
  <si>
    <t>Изделия резиновые</t>
  </si>
  <si>
    <t>Изделия из пластмасс</t>
  </si>
  <si>
    <t>22.21.29.110</t>
  </si>
  <si>
    <t>Трубы прочие пластмассовые</t>
  </si>
  <si>
    <t>22.21.29.120</t>
  </si>
  <si>
    <t>Трубки, шланги и рукава прочие пластмассовые</t>
  </si>
  <si>
    <t>22.21.29.130</t>
  </si>
  <si>
    <t>Фитинги прочие пластмассовые</t>
  </si>
  <si>
    <t>22.21.41</t>
  </si>
  <si>
    <t>Плиты, листы, пленка и полосы (ленты) прочие пластмассовые пористые</t>
  </si>
  <si>
    <t>22.21.42</t>
  </si>
  <si>
    <t>Плиты, листы, пленка и полосы (ленты) прочие пластмассовые непористые</t>
  </si>
  <si>
    <t>22.22.11</t>
  </si>
  <si>
    <t>Мешки и сумки, включая конические, из полимеров этилена</t>
  </si>
  <si>
    <t>22.22.13</t>
  </si>
  <si>
    <t>Коробки, ящики, корзины и аналогичные пластмассовые изделия</t>
  </si>
  <si>
    <t>22.22.14</t>
  </si>
  <si>
    <t>Бутыли, бутылки, флаконы и аналогичные изделия из пластмасс</t>
  </si>
  <si>
    <t>22.22.19</t>
  </si>
  <si>
    <t>Изделия упаковочные пластмассовые прочие</t>
  </si>
  <si>
    <t>22.23.11</t>
  </si>
  <si>
    <t xml:space="preserve">Материалы для покрытий пола, стен или потолка пластмассовые </t>
  </si>
  <si>
    <t>22.23.12</t>
  </si>
  <si>
    <t xml:space="preserve"> штук</t>
  </si>
  <si>
    <t>22.23.13</t>
  </si>
  <si>
    <t>Резервуары, цистерны, баки и аналогичные емкости пластмассовые</t>
  </si>
  <si>
    <t>22.23.14.110</t>
  </si>
  <si>
    <t>Блоки дверные пластмассовые и пороги для них</t>
  </si>
  <si>
    <t>22.23.14.120</t>
  </si>
  <si>
    <t>Блоки оконные пластмассовые</t>
  </si>
  <si>
    <t>22.23.14.130</t>
  </si>
  <si>
    <t>Ставни, жалюзи и аналогичные изделия и их комплектующие пластмассовые</t>
  </si>
  <si>
    <t>22.23.15</t>
  </si>
  <si>
    <t>Линолеум и твердые неполимерные материалы для покрытия пола</t>
  </si>
  <si>
    <t>22.23.19</t>
  </si>
  <si>
    <t>Изделия пластмассовые строительные, не включенные в другие группировки</t>
  </si>
  <si>
    <t>22.23.2</t>
  </si>
  <si>
    <t>Здания быстровозводимые из пластмасс</t>
  </si>
  <si>
    <t>22.29.10</t>
  </si>
  <si>
    <t>Предметы одежды и ее аксессуары, включая перчатки, из пластмасс</t>
  </si>
  <si>
    <t>22.29.21</t>
  </si>
  <si>
    <t>22.29.22</t>
  </si>
  <si>
    <t>22.29.23</t>
  </si>
  <si>
    <t>Предметы домашнего обихода столовые, кухонные, туалетные и прочие из пластмасс</t>
  </si>
  <si>
    <t>22.29.24</t>
  </si>
  <si>
    <t>22.29.25</t>
  </si>
  <si>
    <t>Принадлежности канцелярские или школьные из пластмасс</t>
  </si>
  <si>
    <t>22.29.26</t>
  </si>
  <si>
    <t>Фурнитура для мебели, транспортных средств и аналогичные изделия</t>
  </si>
  <si>
    <t>22.29.29</t>
  </si>
  <si>
    <t>Изделия прочие из пластмасс</t>
  </si>
  <si>
    <t>Стекло и изделия из стекла</t>
  </si>
  <si>
    <t>23.12.11</t>
  </si>
  <si>
    <t>Стекло листовое гнутое и обработанное</t>
  </si>
  <si>
    <t>23.12.12</t>
  </si>
  <si>
    <t>Стекло безопасное</t>
  </si>
  <si>
    <t>23.12.13.110</t>
  </si>
  <si>
    <t>Зеркала стеклянные</t>
  </si>
  <si>
    <t>23.12.13.300</t>
  </si>
  <si>
    <t>Стеклопакеты</t>
  </si>
  <si>
    <t>23.14.1</t>
  </si>
  <si>
    <t>Стекловолокно</t>
  </si>
  <si>
    <t>23.19</t>
  </si>
  <si>
    <t>Стекло прочее, включая технические изделия из стекла</t>
  </si>
  <si>
    <t>Изделия огнеупорные</t>
  </si>
  <si>
    <t>23.20.11</t>
  </si>
  <si>
    <t xml:space="preserve">Кирпичи, блоки, плитки и прочие керамические изделия </t>
  </si>
  <si>
    <t>тыс.усл.кирп</t>
  </si>
  <si>
    <t>23.20.12</t>
  </si>
  <si>
    <t>Кирпичи, блоки, плитки и прочие изделия огнеупорные</t>
  </si>
  <si>
    <t>23.20.13</t>
  </si>
  <si>
    <t>Цементы огнеупорные, строительные растворы и аналогичные составы</t>
  </si>
  <si>
    <t>23.20.14</t>
  </si>
  <si>
    <t>Изделия огнеупорные безобжиговые и прочие огнеупорные изделия</t>
  </si>
  <si>
    <t>Материалы керамические строительные</t>
  </si>
  <si>
    <t>23.31.10</t>
  </si>
  <si>
    <t>Плиты и плитки керамические</t>
  </si>
  <si>
    <t>23.32.11.110</t>
  </si>
  <si>
    <t>Кирпич керамический неогнеупорный строительный</t>
  </si>
  <si>
    <t>Цемент, известь и гипс</t>
  </si>
  <si>
    <t>23.51.11</t>
  </si>
  <si>
    <t>Клинкеры цементные</t>
  </si>
  <si>
    <t>23.51.12.111</t>
  </si>
  <si>
    <t>Портландцемент без минеральных добавок</t>
  </si>
  <si>
    <t>23.51.12.112</t>
  </si>
  <si>
    <t>Портландцемент с минеральными добавками</t>
  </si>
  <si>
    <t>23.51.12.113</t>
  </si>
  <si>
    <t>Шлакопортландцемент</t>
  </si>
  <si>
    <t>23.51.12.114</t>
  </si>
  <si>
    <t>Портландцемент пуццолановый</t>
  </si>
  <si>
    <t>23.51.12.115</t>
  </si>
  <si>
    <t>Цемент композиционный</t>
  </si>
  <si>
    <t>23.52.10</t>
  </si>
  <si>
    <t>Известь негашеная, гашеная и гидравлическая</t>
  </si>
  <si>
    <t>23.52.20.110</t>
  </si>
  <si>
    <t>Гипс строительный</t>
  </si>
  <si>
    <t>23.52.30</t>
  </si>
  <si>
    <t>Доломит кальцинированный или агломерированный</t>
  </si>
  <si>
    <t>Изделия из бетона, цемента и гипса</t>
  </si>
  <si>
    <t>23.61.11.110</t>
  </si>
  <si>
    <t>Черепица из цемента, бетона или искусственного камня</t>
  </si>
  <si>
    <t>23.61.11.120</t>
  </si>
  <si>
    <t>Плиты из цемента, бетона или искусственного камня</t>
  </si>
  <si>
    <t>23.61.11.130</t>
  </si>
  <si>
    <t>Кирпич строительный (включая камни) из цемента, бетона или искусственного камня</t>
  </si>
  <si>
    <t>23.61.11.140</t>
  </si>
  <si>
    <t>Блоки силикатные</t>
  </si>
  <si>
    <t>23.61.11.190</t>
  </si>
  <si>
    <t>Изделия аналогичные из цемента, бетона или искусственного камня</t>
  </si>
  <si>
    <t>23.61.12</t>
  </si>
  <si>
    <t>Блоки и прочие изделия сборные строительные для зданий и сооружений из цемента</t>
  </si>
  <si>
    <t>23.61.12.110</t>
  </si>
  <si>
    <t xml:space="preserve">   из них конструкции фундаментов сборные железобетонные</t>
  </si>
  <si>
    <t>23.61.12.120</t>
  </si>
  <si>
    <t xml:space="preserve">   из них конструкции каркаса зданий и сооружений сборные железобетонные</t>
  </si>
  <si>
    <t>23.61.12.131</t>
  </si>
  <si>
    <t xml:space="preserve">   из них панели стеновые наружные железобетонные</t>
  </si>
  <si>
    <t>23.61.12.132</t>
  </si>
  <si>
    <t xml:space="preserve">   из них панели стеновые внутренние железобетонные</t>
  </si>
  <si>
    <t>23.61.12.134</t>
  </si>
  <si>
    <t xml:space="preserve">   из них блоки стеновые железобетонные</t>
  </si>
  <si>
    <t>23.61.12.140</t>
  </si>
  <si>
    <t xml:space="preserve">   из них плиты, панели и настилы перекрытий и покрытий железобетонные</t>
  </si>
  <si>
    <t>23.61.12.150</t>
  </si>
  <si>
    <t xml:space="preserve">   из них конструкции и детали сооружений сборные железобетонные</t>
  </si>
  <si>
    <t xml:space="preserve">23.61.2 </t>
  </si>
  <si>
    <t>Здания сборные из бетона</t>
  </si>
  <si>
    <t>23.62.10</t>
  </si>
  <si>
    <t>Изделия из гипса строительные</t>
  </si>
  <si>
    <t>23.63.10</t>
  </si>
  <si>
    <t>Бетон, готовый для заливки (товарный бетон)</t>
  </si>
  <si>
    <t>23.64.10.110</t>
  </si>
  <si>
    <t>Смеси строительные</t>
  </si>
  <si>
    <t>23.64.10.120</t>
  </si>
  <si>
    <t>Растворы строительные</t>
  </si>
  <si>
    <t>23.65.11</t>
  </si>
  <si>
    <t>Панели, блоки и аналогичные изделия из растительных волокон</t>
  </si>
  <si>
    <t>23.65.12</t>
  </si>
  <si>
    <t xml:space="preserve">Изделия из хризотилцемента, цемента с волокнами целлюлозы </t>
  </si>
  <si>
    <t>23.69</t>
  </si>
  <si>
    <t>Изделия из гипса, бетона или цемента прочие</t>
  </si>
  <si>
    <t>23.70.1</t>
  </si>
  <si>
    <t>Камень разрезанный, обработанный и отделанный</t>
  </si>
  <si>
    <t>Продукция минеральная неметаллическая прочая</t>
  </si>
  <si>
    <t>23.99.13</t>
  </si>
  <si>
    <t>Смеси битуминозные на основе материалов природного и искусственного камня и битума, природного асфальта или связанных с ним веществ в качестве связующего</t>
  </si>
  <si>
    <t>23.99.13.110</t>
  </si>
  <si>
    <t xml:space="preserve">   из них смеси асфальтобетонные дорожные и асфальтобетон горячие</t>
  </si>
  <si>
    <t>23.99.13.120</t>
  </si>
  <si>
    <t xml:space="preserve">   из них смеси асфальтобетонные дорожные и асфальтобетон холодные</t>
  </si>
  <si>
    <t>23.99.19</t>
  </si>
  <si>
    <t>Продукция минеральная неметаллическая, не включенная в другие группировки</t>
  </si>
  <si>
    <t>Железо, чугун, сталь и ферросплавы</t>
  </si>
  <si>
    <t>24.10.21.131</t>
  </si>
  <si>
    <t xml:space="preserve">Полуфабрикаты квадратного поперечного сечения из нелегированной стали </t>
  </si>
  <si>
    <t>24.10.61</t>
  </si>
  <si>
    <t>Прокат сортовой и катанка горячекатаные  со свободной намоткой в бухты, из нелегированных сталей</t>
  </si>
  <si>
    <t>24.10.61.111</t>
  </si>
  <si>
    <t xml:space="preserve">    из них прокат сортовой горячекатаный круглый со свободной намоткой в бухты </t>
  </si>
  <si>
    <t>24.10.61.112</t>
  </si>
  <si>
    <t xml:space="preserve">   из них прокат сортовой горячекатаный квадратный со свободной намоткой в бухты</t>
  </si>
  <si>
    <t>24.10.61.113</t>
  </si>
  <si>
    <t xml:space="preserve">   из них прокат сортовой горячекатаный шестигранный со свободной намоткой в бухты</t>
  </si>
  <si>
    <t>24.10.61.114</t>
  </si>
  <si>
    <t xml:space="preserve">   из них прокат сортовой горячекатаный полосовой со свободной намоткой в бухты </t>
  </si>
  <si>
    <t>24.10.61.120</t>
  </si>
  <si>
    <t xml:space="preserve">   из них катанка горячекатаная со свободной намоткой в бухты</t>
  </si>
  <si>
    <t>24.10.62</t>
  </si>
  <si>
    <t>Прокат сортовой и катанка стальные прочие,  включая смотанные после прокатки, из нелегированных сталей</t>
  </si>
  <si>
    <t>24.10.62.110</t>
  </si>
  <si>
    <t xml:space="preserve">   из них сталь кованая из нелегированных сталей, без дополнительной обработки</t>
  </si>
  <si>
    <t>24.10.62.121</t>
  </si>
  <si>
    <t xml:space="preserve">   из них прокат сортовой горячекатаный круглый прочий</t>
  </si>
  <si>
    <t>24.10.62.122</t>
  </si>
  <si>
    <t xml:space="preserve">   из них прокат сортовой горячекатаный квадратный прочий</t>
  </si>
  <si>
    <t>24.10.62.124</t>
  </si>
  <si>
    <t xml:space="preserve">   из них прокат сортовой горячекатаный полосовой прочий</t>
  </si>
  <si>
    <t>24.10.7</t>
  </si>
  <si>
    <t>Профили незамкнутые горячей обработки стальные, прокат листовой стальной в пакетах и профиль рельсовый для железных дорог и трамвайных путей стальной</t>
  </si>
  <si>
    <t>24.10.71.110</t>
  </si>
  <si>
    <t xml:space="preserve">   из них уголки стальные горячекатаные из нелегированных сталей</t>
  </si>
  <si>
    <t>24.10.71.120</t>
  </si>
  <si>
    <t xml:space="preserve">   из них двутавры стальные горячекатаные из нелегированных сталей</t>
  </si>
  <si>
    <t>24.10.71.130</t>
  </si>
  <si>
    <t xml:space="preserve">   из них швеллеры стальные горячекатаные из нелегированных сталей</t>
  </si>
  <si>
    <t>24.10.71.190</t>
  </si>
  <si>
    <t xml:space="preserve">   из них профили незамкнутые горячекатаные, горячетянутые прочие</t>
  </si>
  <si>
    <t>24.10.72</t>
  </si>
  <si>
    <t xml:space="preserve">   из них профили незамкнутые горячекатаные, горячетянутые, без дополнительной обработки, из нержавеющих сталей</t>
  </si>
  <si>
    <t>24.10.73</t>
  </si>
  <si>
    <t xml:space="preserve">   из них профили незамкнутые горячекатаные, горячетянутые, без дополнительной обработки, из прочих сталей</t>
  </si>
  <si>
    <t>24.10.74</t>
  </si>
  <si>
    <t xml:space="preserve">    из них прокат листовой стальной в пакетах, профили незамкнутые сварные стальные</t>
  </si>
  <si>
    <t>24.10.75</t>
  </si>
  <si>
    <t xml:space="preserve">    из них профили рельсовые для железных дорог и трамвайных путей стальные</t>
  </si>
  <si>
    <t>24.10.8</t>
  </si>
  <si>
    <t>Прокат черных металлов прочий, не включенный в другие группировки</t>
  </si>
  <si>
    <t>Трубы, профили пустотелые и их фитинги стальные</t>
  </si>
  <si>
    <t>24.20</t>
  </si>
  <si>
    <t>Полуфабрикаты стальные прочие</t>
  </si>
  <si>
    <t>24.31.10</t>
  </si>
  <si>
    <t>Прутки холоднотянутые и профили со сплошным сечением из нелегированных сталей</t>
  </si>
  <si>
    <t>24.31.20</t>
  </si>
  <si>
    <t>Прутки холоднотянутые и профили со сплошным сечением из легированных сталей, кроме нержавеющих</t>
  </si>
  <si>
    <t>24.31.30</t>
  </si>
  <si>
    <t>Прутки холоднотянутые и профили со сплошным сечением из нержавеющих сталей</t>
  </si>
  <si>
    <t>24.32.1</t>
  </si>
  <si>
    <t>Прокат листовой холоднокатаный стальной, неплакированный, шириной менее 600 мм</t>
  </si>
  <si>
    <t>24.32.2</t>
  </si>
  <si>
    <t>Прокат листовой холоднокатаный стальной, плакированный, с гальваническим или другим покрытием, шириной менее 600 мм</t>
  </si>
  <si>
    <t>24.33.11</t>
  </si>
  <si>
    <t>Профили незамкнутые холодной штамповки или гибки из нелегированных сталей</t>
  </si>
  <si>
    <t>24.33.12</t>
  </si>
  <si>
    <t>Профили незамкнутые холодной штамповки или гибки из нержавеющих сталей</t>
  </si>
  <si>
    <t>24.33.20</t>
  </si>
  <si>
    <t>Профили листовые из нелегированной стали</t>
  </si>
  <si>
    <t>24.33.30</t>
  </si>
  <si>
    <t>Панели многослойные из листового стального плакированного проката</t>
  </si>
  <si>
    <t>24.34.11</t>
  </si>
  <si>
    <t>Проволока холоднотянутая из нелегированной стали</t>
  </si>
  <si>
    <t>24.34.12</t>
  </si>
  <si>
    <t>Проволока холоднотянутая из нержавеющей стали</t>
  </si>
  <si>
    <t>24.34.13</t>
  </si>
  <si>
    <t>Проволока холоднотянутая из прочей легированной стали</t>
  </si>
  <si>
    <t>Металлы основные драгоценные и цветные прочие</t>
  </si>
  <si>
    <t>24.42.22</t>
  </si>
  <si>
    <t>Прутки, катанка и профили из алюминия или алюминиевых сплавов</t>
  </si>
  <si>
    <t>24.42.23</t>
  </si>
  <si>
    <t>Проволока алюминиевая</t>
  </si>
  <si>
    <t>24.44.23</t>
  </si>
  <si>
    <t>Проволока медная</t>
  </si>
  <si>
    <t>Услуги по литью металлов</t>
  </si>
  <si>
    <t>24.51.1</t>
  </si>
  <si>
    <t>Услуги по литью чугуна</t>
  </si>
  <si>
    <t>24.52.1</t>
  </si>
  <si>
    <t>Услуги по литью стали</t>
  </si>
  <si>
    <t>Металлоконструкции строительные</t>
  </si>
  <si>
    <t>25.11</t>
  </si>
  <si>
    <t>Металлоконструкции строительные и их части</t>
  </si>
  <si>
    <t>25.11.10</t>
  </si>
  <si>
    <t xml:space="preserve">   из них здания сборные из металла</t>
  </si>
  <si>
    <t>25.11.21</t>
  </si>
  <si>
    <t xml:space="preserve">    из них мосты и секции мостов из черных металлов</t>
  </si>
  <si>
    <t>25.11.22</t>
  </si>
  <si>
    <t xml:space="preserve">   из них опоры башенные и мачты решетчатые из черных металлов</t>
  </si>
  <si>
    <t>25.11.23</t>
  </si>
  <si>
    <t xml:space="preserve">    из них конструкции и детали конструкций прочие, листы, прутки, уголки, профили и аналогичные изделия из черных металлов или алюминия</t>
  </si>
  <si>
    <t>25.12.10</t>
  </si>
  <si>
    <t>Двери, окна и их рамы и пороги для дверей из металлов</t>
  </si>
  <si>
    <t>Резервуары, цистерны и аналогичные емкости из металлов</t>
  </si>
  <si>
    <t>Котлы паровые, кроме водогрейных котлов центрального отопления</t>
  </si>
  <si>
    <t>Услуги по ковке, прессованию, штамповке и профилированию листового металла; услуги по производству изделий методом порошковой металлургии</t>
  </si>
  <si>
    <t>25.50</t>
  </si>
  <si>
    <t>25.61</t>
  </si>
  <si>
    <t>Услуги по обработке металлов и нанесению покрытий на них</t>
  </si>
  <si>
    <t>25.62</t>
  </si>
  <si>
    <t>Изделия металлические готовые прочие</t>
  </si>
  <si>
    <t>25.91.1</t>
  </si>
  <si>
    <t>Бочки и аналогичные емкости из черных металлов</t>
  </si>
  <si>
    <t>25.92.1</t>
  </si>
  <si>
    <t>Тара металлическая легкая</t>
  </si>
  <si>
    <t>25.93.11</t>
  </si>
  <si>
    <t>25.93.12</t>
  </si>
  <si>
    <t>Проволока колючая из черных металлов; проволока скрученная, канаты, ленты плетеные и аналогичные изделия из меди или алюминия без электрической изоляции</t>
  </si>
  <si>
    <t>25.93.13</t>
  </si>
  <si>
    <t>25.93.14</t>
  </si>
  <si>
    <t>Гвозди, кнопки, кнопки чертежные, скобы и аналогичные изделия</t>
  </si>
  <si>
    <t>25.93.14.110</t>
  </si>
  <si>
    <t xml:space="preserve">   из них гвозди</t>
  </si>
  <si>
    <t>25.93.14.120</t>
  </si>
  <si>
    <t xml:space="preserve">   из них кнопки</t>
  </si>
  <si>
    <t>25.93.14.140</t>
  </si>
  <si>
    <t xml:space="preserve">   из них скобы и аналогичные изделия</t>
  </si>
  <si>
    <t>25.93.15</t>
  </si>
  <si>
    <t>Проволока, прутки присадочные, стержни, пластины, электроды с покрытием или проволока с флюсовым сердечником</t>
  </si>
  <si>
    <t>25.93.16</t>
  </si>
  <si>
    <t>Пружины и листы для пружин из черных металлов; пружины медные</t>
  </si>
  <si>
    <t>25.93.17</t>
  </si>
  <si>
    <t>Цепи (кроме шарнирных цепей) и их детали</t>
  </si>
  <si>
    <t>25.93.18</t>
  </si>
  <si>
    <t>Иглы швейные, вязальные спицы, штопальные иглы, вязальные крючки и аналогичные изделия для ручной работы из черных металлов</t>
  </si>
  <si>
    <t>25.94.1</t>
  </si>
  <si>
    <t>Изделия крепежные и винты крепежные</t>
  </si>
  <si>
    <t>26.1</t>
  </si>
  <si>
    <t>Компоненты электронные и платы</t>
  </si>
  <si>
    <t>26.2</t>
  </si>
  <si>
    <t>Компьютеры и периферийное оборудование</t>
  </si>
  <si>
    <t>26.3</t>
  </si>
  <si>
    <t>Оборудование коммуникационное</t>
  </si>
  <si>
    <t>26.4</t>
  </si>
  <si>
    <t>Техника бытовая электронная</t>
  </si>
  <si>
    <t>26.5</t>
  </si>
  <si>
    <t>Оборудование для измерения, испытаний и навигации; часы всех видов</t>
  </si>
  <si>
    <t>Электродвигатели, генераторы, трансформаторы и электрическая распределительная и контрольно-измерительная аппаратура</t>
  </si>
  <si>
    <t>27.11.22</t>
  </si>
  <si>
    <t>27.11.23</t>
  </si>
  <si>
    <t>27.11.24</t>
  </si>
  <si>
    <t>27.11.26</t>
  </si>
  <si>
    <t>27.11.4</t>
  </si>
  <si>
    <t>Трансформаторы электрические</t>
  </si>
  <si>
    <t>27.11.5</t>
  </si>
  <si>
    <t>Элементы балластные для газоразрядных ламп или трубок; статические электрические преобразователи; прочие катушки индуктивности</t>
  </si>
  <si>
    <t>27.11.61</t>
  </si>
  <si>
    <t>Части электродвигателей и генераторов</t>
  </si>
  <si>
    <t>27.11.62</t>
  </si>
  <si>
    <t>Части трансформаторов, катушек индуктивности и статических преобразователей</t>
  </si>
  <si>
    <t>27.12.1</t>
  </si>
  <si>
    <t>Устройства для коммутации или защиты электрических цепей на напряжение более 1 кВ</t>
  </si>
  <si>
    <t>27.12.2</t>
  </si>
  <si>
    <t>Устройства коммутации или защиты электрических цепей на напряжение не более 1 кВ</t>
  </si>
  <si>
    <t>27.12.3</t>
  </si>
  <si>
    <t>Комплекты электрической аппаратуры коммутации или защиты</t>
  </si>
  <si>
    <t>27.12.4</t>
  </si>
  <si>
    <t>Части электрической распределительной или регулирующей аппаратуры</t>
  </si>
  <si>
    <t>Кабели и арматура кабельная</t>
  </si>
  <si>
    <t>27.31</t>
  </si>
  <si>
    <t>Кабели волоконно-оптические</t>
  </si>
  <si>
    <t>27.32.11</t>
  </si>
  <si>
    <t>Провода обмоточные изолированные</t>
  </si>
  <si>
    <t>27.32.12</t>
  </si>
  <si>
    <t>Кабели коаксиальные и прочие проводники электрического тока</t>
  </si>
  <si>
    <t>км</t>
  </si>
  <si>
    <t>27.32.13.111</t>
  </si>
  <si>
    <t>Кабели силовые с медной жилой на напряжение до 1 кВ</t>
  </si>
  <si>
    <t>27.32.13.112</t>
  </si>
  <si>
    <t>Кабели силовые с алюминиевой жилой на напряжение до 1 кВ</t>
  </si>
  <si>
    <t>27.32.13.120</t>
  </si>
  <si>
    <t>Кабели силовые для нестационарной прокладки на напряжение до 1 кВ</t>
  </si>
  <si>
    <t>27.32.13.130</t>
  </si>
  <si>
    <t>Провода и шнуры силовые</t>
  </si>
  <si>
    <t>27.32.13.140</t>
  </si>
  <si>
    <t>Кабели управления, контроля, сигнализации; кабели и провода термоэлектродные</t>
  </si>
  <si>
    <t>27.32.13.150</t>
  </si>
  <si>
    <t>Кабели, провода и шнуры связи</t>
  </si>
  <si>
    <t>27.32.13.190</t>
  </si>
  <si>
    <t>Кабели, провода и другие проводники прочие на напряжение до 1 кВ</t>
  </si>
  <si>
    <t>27.32.14</t>
  </si>
  <si>
    <t>Проводники электрические прочие на напряжение более 1 кВ</t>
  </si>
  <si>
    <t>27.33.11</t>
  </si>
  <si>
    <t>Выключатели на напряжение не более 1 кВ</t>
  </si>
  <si>
    <t>27.33.12</t>
  </si>
  <si>
    <t>Патроны для ламп на напряжение не более 1 кВ</t>
  </si>
  <si>
    <t>27.33.13</t>
  </si>
  <si>
    <t>27.33.13.140</t>
  </si>
  <si>
    <t xml:space="preserve">   из них контакторы электромагнитные</t>
  </si>
  <si>
    <t>Оборудование электрическое осветительное</t>
  </si>
  <si>
    <t>Приборы бытовые</t>
  </si>
  <si>
    <t>Оборудование электрическое прочее</t>
  </si>
  <si>
    <t>27.90.1</t>
  </si>
  <si>
    <t>Оборудование электрическое прочее и его части</t>
  </si>
  <si>
    <t>27.90.82.000</t>
  </si>
  <si>
    <t>Части резисторов, реостатов и потенциометров</t>
  </si>
  <si>
    <t>Машины и оборудование общего назначения</t>
  </si>
  <si>
    <t>28.13.14</t>
  </si>
  <si>
    <t>Оборудование металлообрабатывающее и станки</t>
  </si>
  <si>
    <t>28.49.12.110</t>
  </si>
  <si>
    <t>Станки деревообрабатывающие</t>
  </si>
  <si>
    <t>Оборудование специального назначения прочее</t>
  </si>
  <si>
    <t>28.93.14</t>
  </si>
  <si>
    <t>31.0</t>
  </si>
  <si>
    <t>Мебель</t>
  </si>
  <si>
    <t>31.01.11</t>
  </si>
  <si>
    <t>Мебель металлическая для офисов</t>
  </si>
  <si>
    <t>31.01.11.110</t>
  </si>
  <si>
    <t xml:space="preserve">   из нее столы офисные металлические</t>
  </si>
  <si>
    <t>31.01.11.120</t>
  </si>
  <si>
    <t xml:space="preserve">   из нее шкафы офисные металлические</t>
  </si>
  <si>
    <t>31.01.11.130</t>
  </si>
  <si>
    <t xml:space="preserve">   из нее стеллажи офисные металлические</t>
  </si>
  <si>
    <t>31.01.11.140</t>
  </si>
  <si>
    <t xml:space="preserve">   из нее тумбы офисные металлические</t>
  </si>
  <si>
    <t>31.01.11.150</t>
  </si>
  <si>
    <t xml:space="preserve">   из нее мебель для сидения, преимущественно с металлическим каркасом</t>
  </si>
  <si>
    <t>31.01.12</t>
  </si>
  <si>
    <t>Мебель деревянная для офисов</t>
  </si>
  <si>
    <t>31.01.12.110</t>
  </si>
  <si>
    <t xml:space="preserve">   из нее столы письменные деревянные для офисов, административных помещений</t>
  </si>
  <si>
    <t>31.01.12.120</t>
  </si>
  <si>
    <t xml:space="preserve">   из нее столы письменные деревянные для учебных заведений</t>
  </si>
  <si>
    <t>31.01.12.130</t>
  </si>
  <si>
    <t xml:space="preserve">   из нее шкафы офисные деревянные</t>
  </si>
  <si>
    <t>31.01.12.140</t>
  </si>
  <si>
    <t xml:space="preserve">   из нее стеллажи офисные деревянные</t>
  </si>
  <si>
    <t>31.01.12.150</t>
  </si>
  <si>
    <t xml:space="preserve">   из нее тумбы офисные деревянные</t>
  </si>
  <si>
    <t>31.01.12.160</t>
  </si>
  <si>
    <t xml:space="preserve">   из нее мебель для сидения, преимущественно с деревянным каркасом</t>
  </si>
  <si>
    <t>31.01.12.190</t>
  </si>
  <si>
    <t xml:space="preserve">   из нее прочая</t>
  </si>
  <si>
    <t>31.01.13</t>
  </si>
  <si>
    <t>Мебель деревянная для предприятий торговли</t>
  </si>
  <si>
    <t>31.02</t>
  </si>
  <si>
    <t>Мебель кухонная</t>
  </si>
  <si>
    <t>31.02.10.110</t>
  </si>
  <si>
    <t xml:space="preserve">   из нее столы кухонные</t>
  </si>
  <si>
    <t>31.02.10.120</t>
  </si>
  <si>
    <t xml:space="preserve">   из не шкафы кухонные</t>
  </si>
  <si>
    <t>31.02.10.130</t>
  </si>
  <si>
    <t xml:space="preserve">   из нее полки кухонные</t>
  </si>
  <si>
    <t>31.02.10.140</t>
  </si>
  <si>
    <t xml:space="preserve">   из нее наборы кухонной мебели</t>
  </si>
  <si>
    <t>31.02.10.190</t>
  </si>
  <si>
    <t>31.02.9</t>
  </si>
  <si>
    <t>Услуги по производству кухонной мебели</t>
  </si>
  <si>
    <t>тыс.руб.</t>
  </si>
  <si>
    <t>31.09</t>
  </si>
  <si>
    <t>Мебель прочая</t>
  </si>
  <si>
    <t>31.09.11.110</t>
  </si>
  <si>
    <t xml:space="preserve">   из нее кровати металлические</t>
  </si>
  <si>
    <t>31.09.11.120</t>
  </si>
  <si>
    <t xml:space="preserve">   из нее стеллажи, стойки, вешалки металлические</t>
  </si>
  <si>
    <t>31.09.11.130</t>
  </si>
  <si>
    <t xml:space="preserve">   из нее полки и полочки металлические хозяйственно-бытового назначения</t>
  </si>
  <si>
    <t>31.09.12</t>
  </si>
  <si>
    <t>Мебель деревянная для спальни, столовой и гостиной</t>
  </si>
  <si>
    <t>31.09.12.119</t>
  </si>
  <si>
    <t xml:space="preserve">    из нее диваны, софы, кушетки с деревянным каркасом, трансформируемые в кровати</t>
  </si>
  <si>
    <t>31.09.12.121</t>
  </si>
  <si>
    <t xml:space="preserve">    из нее кровати для взрослых</t>
  </si>
  <si>
    <t>31.09.12.122</t>
  </si>
  <si>
    <t xml:space="preserve">    из нее кровати для детей</t>
  </si>
  <si>
    <t>31.09.12.123</t>
  </si>
  <si>
    <t xml:space="preserve">    из нее шкафы для спальни</t>
  </si>
  <si>
    <t>31.09.12.124</t>
  </si>
  <si>
    <t xml:space="preserve">    из нее тумбы для спальни</t>
  </si>
  <si>
    <t>31.09.12.125</t>
  </si>
  <si>
    <t xml:space="preserve">    из нее гарнитуры и наборы комплектной мебели для спальни</t>
  </si>
  <si>
    <t>комплект</t>
  </si>
  <si>
    <t>31.09.12.129</t>
  </si>
  <si>
    <t xml:space="preserve">    из нее мебель для спальни прочая</t>
  </si>
  <si>
    <t>31.09.12.131</t>
  </si>
  <si>
    <t xml:space="preserve">    из нее столы обеденные для столовой и гостиной</t>
  </si>
  <si>
    <t>31.09.12.132</t>
  </si>
  <si>
    <t xml:space="preserve">    из нее столы журнальные </t>
  </si>
  <si>
    <t>31.09.12.133</t>
  </si>
  <si>
    <t xml:space="preserve">    из нее шкафы для столовой и гостиной</t>
  </si>
  <si>
    <t>31.09.12.134</t>
  </si>
  <si>
    <t xml:space="preserve">     из нее гарнитуры и наборы комплектной мебели для столовой и гостиной</t>
  </si>
  <si>
    <t>31.09.12.139</t>
  </si>
  <si>
    <t xml:space="preserve">    из нее мебель для столовой и гостиной прочая</t>
  </si>
  <si>
    <t>31.09.13</t>
  </si>
  <si>
    <t>Мебель деревянная, не включенная в другие группировки</t>
  </si>
  <si>
    <t>31.09.13.110</t>
  </si>
  <si>
    <t xml:space="preserve">    из нее мебель для ванной комнаты</t>
  </si>
  <si>
    <t>31.09.13.120</t>
  </si>
  <si>
    <t xml:space="preserve">    из нее мебель  для прихожей</t>
  </si>
  <si>
    <t>31.09.13.130</t>
  </si>
  <si>
    <t xml:space="preserve">    из нее мебель для дачи и сада</t>
  </si>
  <si>
    <t>31.09.13.141</t>
  </si>
  <si>
    <t xml:space="preserve">   из нее гарнитуры детской мебели</t>
  </si>
  <si>
    <t>31.09.13.142</t>
  </si>
  <si>
    <t xml:space="preserve">   из нее наборы детской мебели</t>
  </si>
  <si>
    <t>31.09.13.144</t>
  </si>
  <si>
    <t xml:space="preserve">   из нее ящики для игрушек</t>
  </si>
  <si>
    <t>31.09.13.149</t>
  </si>
  <si>
    <t xml:space="preserve">   из нее прочая детская мебель</t>
  </si>
  <si>
    <t>31.09.13.190</t>
  </si>
  <si>
    <t xml:space="preserve">   из нее прочая, не включенная в другие группировки</t>
  </si>
  <si>
    <t>31.09.91.110</t>
  </si>
  <si>
    <t>Услуги по отделке новой мебели</t>
  </si>
  <si>
    <t>31.09.91.120</t>
  </si>
  <si>
    <t>Услуги по обивке стульев и мебели для сидения</t>
  </si>
  <si>
    <t>31.09.99.</t>
  </si>
  <si>
    <t xml:space="preserve">Услуги по производству прочей мебели </t>
  </si>
  <si>
    <t>Услуги по ремонту металлоизделий, машин и оборудования</t>
  </si>
  <si>
    <t>33.12</t>
  </si>
  <si>
    <t>Услуги по ремонту оборудования</t>
  </si>
  <si>
    <t>33.13</t>
  </si>
  <si>
    <t>Услуги по ремонту электронного и оптического оборудования</t>
  </si>
  <si>
    <t>33.17</t>
  </si>
  <si>
    <t>33.19</t>
  </si>
  <si>
    <t>Услуги по ремонту прочего оборудования</t>
  </si>
  <si>
    <t>Услуги по монтажу промышленных машин и оборудования</t>
  </si>
  <si>
    <t>33.20.1</t>
  </si>
  <si>
    <t>Услуги по монтажу металлоизделий, кроме машин и оборудования</t>
  </si>
  <si>
    <t>33.20.2</t>
  </si>
  <si>
    <t>Услуги по монтажу оборудования общего назначения</t>
  </si>
  <si>
    <t>33.20.3</t>
  </si>
  <si>
    <t>Услуги по монтажу оборудования специального назначения</t>
  </si>
  <si>
    <t>33.20.4</t>
  </si>
  <si>
    <t>Услуги по монтажу электронного и оптического оборудования</t>
  </si>
  <si>
    <t>33.20.5</t>
  </si>
  <si>
    <t>Услуги по монтажу электрического оборудования</t>
  </si>
  <si>
    <t>33.20.6</t>
  </si>
  <si>
    <t>Услуги по монтажу оборудования для управления производственным процессом</t>
  </si>
  <si>
    <t>33.20.7</t>
  </si>
  <si>
    <t>Услуги по монтажу прочих изделий, не включенных в другие группировки</t>
  </si>
  <si>
    <t>Услуги по производству, передаче и распределению электроэнергии</t>
  </si>
  <si>
    <t>35.11.10</t>
  </si>
  <si>
    <t>Электроэнергия</t>
  </si>
  <si>
    <t>тыс. кВт/ч</t>
  </si>
  <si>
    <t>35.11.10.111</t>
  </si>
  <si>
    <t xml:space="preserve">   из нее произведенная конденсационными электростанциями (КЭС) </t>
  </si>
  <si>
    <t>35.11.10.112</t>
  </si>
  <si>
    <t xml:space="preserve">   из нее произведенная теплоэлектроцентралями (ТЭЦ) </t>
  </si>
  <si>
    <t>35.11.10.113</t>
  </si>
  <si>
    <t xml:space="preserve">   из нее произведенная газотурбинными электростанциями (ГТЭС)</t>
  </si>
  <si>
    <t>35.11.10.114</t>
  </si>
  <si>
    <t xml:space="preserve">   из нее произведенная дизельными электростанциями (ДЭС)</t>
  </si>
  <si>
    <t>35.11.10.116</t>
  </si>
  <si>
    <t xml:space="preserve">   из нее произведенная гидроэлектростанциями (ГЭС) </t>
  </si>
  <si>
    <t>35.11.10.119</t>
  </si>
  <si>
    <t xml:space="preserve">   из нее произведенная нетиповыми электростанциями </t>
  </si>
  <si>
    <t>35.11.10.120</t>
  </si>
  <si>
    <t xml:space="preserve">   из нее  произведенная блок-станциями</t>
  </si>
  <si>
    <t>35.11.10.130</t>
  </si>
  <si>
    <t xml:space="preserve">   из нее произведенная локальными электростанциями</t>
  </si>
  <si>
    <t>35.11.10.140</t>
  </si>
  <si>
    <t xml:space="preserve">   из нее от возобновляемых источников энергии</t>
  </si>
  <si>
    <t>35.12.10.110</t>
  </si>
  <si>
    <t>Услуги по передаче электроэнергии</t>
  </si>
  <si>
    <t>35.12.10.111</t>
  </si>
  <si>
    <t xml:space="preserve">   из них на экспорт</t>
  </si>
  <si>
    <t>35.12.10.120</t>
  </si>
  <si>
    <t>Услуги по технологическому присоединению к распределительным электросетям</t>
  </si>
  <si>
    <t>35.12.10.130</t>
  </si>
  <si>
    <t>Услуги по оперативно-диспетчерскому управлению электроэнергетической системой</t>
  </si>
  <si>
    <t>35.13.10</t>
  </si>
  <si>
    <t>Услуги по распределению электроэнергии</t>
  </si>
  <si>
    <t>35.14.10</t>
  </si>
  <si>
    <t>Услуги по торговле электроэнергией</t>
  </si>
  <si>
    <t>Услуги по снабжению паром и кондиционированию воздуха</t>
  </si>
  <si>
    <t>35.30.11</t>
  </si>
  <si>
    <t>Пар и горячая вода; услуги по снабжению паром и горячей водой</t>
  </si>
  <si>
    <t>Гкал</t>
  </si>
  <si>
    <t>35.30.11.110</t>
  </si>
  <si>
    <t xml:space="preserve">   из нее энергия тепловая, отпущенная электростанциями</t>
  </si>
  <si>
    <t xml:space="preserve"> Гкал</t>
  </si>
  <si>
    <t>35.30.11.120</t>
  </si>
  <si>
    <t xml:space="preserve">   из нее энергия тепловая, отпущенная котельными</t>
  </si>
  <si>
    <t>35.30.11.130</t>
  </si>
  <si>
    <t xml:space="preserve">   из нее энергия тепловая, отпущенная электрокотлами</t>
  </si>
  <si>
    <t>35.30.11.140</t>
  </si>
  <si>
    <t xml:space="preserve">   из нее энергия тепловая, отпущенная промыш. утилизационными установками</t>
  </si>
  <si>
    <t>35.30.12</t>
  </si>
  <si>
    <t>Услуги по снабжению паром и горячей водой по трубопроводам</t>
  </si>
  <si>
    <t>35.30.21</t>
  </si>
  <si>
    <t>Лед, включая лед для охлаждения (т.е. непищевой)</t>
  </si>
  <si>
    <t>35.30.22</t>
  </si>
  <si>
    <t>Услуги по снабжению охлажденным воздухом и охлажденной водой</t>
  </si>
  <si>
    <t>Вода природная; услуги по очистке воды и водоснабжению</t>
  </si>
  <si>
    <t>36.00.11</t>
  </si>
  <si>
    <t>Вода природная питьевая</t>
  </si>
  <si>
    <t>36.00.12</t>
  </si>
  <si>
    <t>Вода природная непитьевая</t>
  </si>
  <si>
    <t>36.00.20.110</t>
  </si>
  <si>
    <t>Услуги по очистке и подготовке воды для водоснабжения</t>
  </si>
  <si>
    <t>36.00.20.120</t>
  </si>
  <si>
    <t>Услуги по обработке воды для промышленных и прочих нужд</t>
  </si>
  <si>
    <t>36.00.20.130</t>
  </si>
  <si>
    <t>Услуги по транспортированию и распределению воды по водопроводам</t>
  </si>
  <si>
    <t>36.00.20.140</t>
  </si>
  <si>
    <t>Услуги по техническому обслуживанию приборов учета расхода воды</t>
  </si>
  <si>
    <t>36.00.20.150</t>
  </si>
  <si>
    <t>Услуги по перевозке (доставке) населению питьевой воды</t>
  </si>
  <si>
    <t>36.00.20.160</t>
  </si>
  <si>
    <t>Услуги по подключению  к централизованной системе водоснабжения</t>
  </si>
  <si>
    <t>36.00.3</t>
  </si>
  <si>
    <t>Услуги по торговле водой, поставляемой по трубопроводам</t>
  </si>
  <si>
    <t>Услуги по водоотведению; шлам сточных вод</t>
  </si>
  <si>
    <t>37.00.11.110</t>
  </si>
  <si>
    <t>Услуги по водоотведению сточных вод</t>
  </si>
  <si>
    <t>37.00.11.120</t>
  </si>
  <si>
    <t>Услуги по транспортированию сточных вод</t>
  </si>
  <si>
    <t>37.00.11.130</t>
  </si>
  <si>
    <t>Услуги по подключению к централизованной системе водоотведения</t>
  </si>
  <si>
    <t>37.00.11.140</t>
  </si>
  <si>
    <t>Услуги по очистке сточных вод и аналогичные услуги</t>
  </si>
  <si>
    <t>37.00.11.150</t>
  </si>
  <si>
    <t xml:space="preserve">Услуги по техническому обслуживанию и очистке систем водоотведения </t>
  </si>
  <si>
    <t>37.00.12</t>
  </si>
  <si>
    <t>Услуги по очистке сточных колодцев и септиков</t>
  </si>
  <si>
    <t>37.00.2</t>
  </si>
  <si>
    <t>Отстой сточных вод</t>
  </si>
  <si>
    <t>Отходы; услуги по сбору отходов</t>
  </si>
  <si>
    <t>38.11.11</t>
  </si>
  <si>
    <t>Услуги по сбору неопасных отходов городского хозяйства, пригодных для повторного использования</t>
  </si>
  <si>
    <t>38.11.19</t>
  </si>
  <si>
    <t>38.11.2</t>
  </si>
  <si>
    <t>Услуги по сбору неопасных отходов, не пригодных для повторного использования</t>
  </si>
  <si>
    <t>38.11.3</t>
  </si>
  <si>
    <t>Отходы неопасные, непригодные для повторного использования, собранные</t>
  </si>
  <si>
    <t>38.11.4</t>
  </si>
  <si>
    <t>Суда затонувшие для демонтажа</t>
  </si>
  <si>
    <t>38.11.5</t>
  </si>
  <si>
    <t>Отходы неопасные прочие, пригодные для повторного использования, собранные</t>
  </si>
  <si>
    <t>38.11.6</t>
  </si>
  <si>
    <t>Услуги перегрузочных станций, связанные с неопасными отходами</t>
  </si>
  <si>
    <t>38.12</t>
  </si>
  <si>
    <t>Отходы опасные; услуги по сбору опасных отходов</t>
  </si>
  <si>
    <t>38.2</t>
  </si>
  <si>
    <t>Услуги по обработке и утилизации отходов</t>
  </si>
  <si>
    <t>38.3</t>
  </si>
  <si>
    <t>Услуги по восстановлению материалов; вторичное сырье</t>
  </si>
  <si>
    <t>Услуги по рекультивации и прочие услуги по утилизации отходов</t>
  </si>
  <si>
    <t>39.00.1</t>
  </si>
  <si>
    <t>Услуги по рекультивации и очистке</t>
  </si>
  <si>
    <t>39.00.2</t>
  </si>
  <si>
    <t>Услуги по рекультивации прочие и специализированные услуги по контролю над загрязнением окружающей среды</t>
  </si>
  <si>
    <t>Единица измерения</t>
  </si>
  <si>
    <t>тыс. дал</t>
  </si>
  <si>
    <r>
      <t>тыс. м</t>
    </r>
    <r>
      <rPr>
        <vertAlign val="superscript"/>
        <sz val="9"/>
        <rFont val="Times New Roman"/>
        <family val="1"/>
        <charset val="204"/>
      </rPr>
      <t>2</t>
    </r>
  </si>
  <si>
    <t>тыс. пар</t>
  </si>
  <si>
    <t>08.12.11.130</t>
  </si>
  <si>
    <t>08.12.12.130</t>
  </si>
  <si>
    <t>08.12.12.140</t>
  </si>
  <si>
    <t>08.12.12.160</t>
  </si>
  <si>
    <t>10.20.25.190</t>
  </si>
  <si>
    <t>Продукты готовые из рыбы прочие</t>
  </si>
  <si>
    <t>10.20.25.910</t>
  </si>
  <si>
    <t>Полуфабрикаты рыбные, замороженные</t>
  </si>
  <si>
    <t>Овощи, консервированные без уксуса, прочие не включенные в другие группировки</t>
  </si>
  <si>
    <t>10.39.25.110</t>
  </si>
  <si>
    <t>Фрукты переработаные</t>
  </si>
  <si>
    <t>11.01.10.911</t>
  </si>
  <si>
    <t>Головная фракция этилового спирта</t>
  </si>
  <si>
    <t>11.01.10.919</t>
  </si>
  <si>
    <t>Отходы спиртового производства прочие</t>
  </si>
  <si>
    <t>Воды минеральные природные питьевые и воды питьевые</t>
  </si>
  <si>
    <t xml:space="preserve">   из них воды питьевые, в том числе газированные не содержащие добавки сахара</t>
  </si>
  <si>
    <t xml:space="preserve">   из них напитки безалкогольные с соком, морсовые, на растительном сырье</t>
  </si>
  <si>
    <t>тыс. пачек</t>
  </si>
  <si>
    <t>Майки, трусы и аналогичные изделия женские или для девочек из текстильных материалов</t>
  </si>
  <si>
    <t xml:space="preserve">Бюстгальтеры, пояса и аналогичные изделия и их части из любого текстильного материала </t>
  </si>
  <si>
    <t>Одежда для детей младшего возраста, аксессуары и детали одежды трикот. или вязаные</t>
  </si>
  <si>
    <t>Одежда для детей младшего возраста, аксессуары одежды из текстильных материалов</t>
  </si>
  <si>
    <t>Аксессуары одежды готовые прочие и части одежды трикотажные или вязаные</t>
  </si>
  <si>
    <t>Костюмы спортивные, костюмы купальные; прочая одежда из текстильных материалов</t>
  </si>
  <si>
    <t>Шали, шарфы и прочие готовые аксессуары к одежде из текстильных материалов</t>
  </si>
  <si>
    <t>Аксессуары одежды из кожи; одежда из фетра или нетканых материалов</t>
  </si>
  <si>
    <t>Обувь водонепроницаемая на подошве и с верхом из резины или пластмассы</t>
  </si>
  <si>
    <t xml:space="preserve">   из нее на подошве и с верхом из резины</t>
  </si>
  <si>
    <t xml:space="preserve">   из нее на подошве и с верхом из пластмассы</t>
  </si>
  <si>
    <t xml:space="preserve">   из нее детская</t>
  </si>
  <si>
    <t>Обувь на подошве и с верхом из резины или пластмассы</t>
  </si>
  <si>
    <t xml:space="preserve">   из нее мужская и для мальчиков</t>
  </si>
  <si>
    <t xml:space="preserve">   из нее  женская и для девочек </t>
  </si>
  <si>
    <t xml:space="preserve">   из нее  детская</t>
  </si>
  <si>
    <t xml:space="preserve">Обувь с верхом из кожи, кроме спортивной обуви, обуви с защ. метал. подноском </t>
  </si>
  <si>
    <t xml:space="preserve">   из нее летняя с верхом из кожи</t>
  </si>
  <si>
    <t xml:space="preserve">   из нее зимняя с верхом из кожи</t>
  </si>
  <si>
    <t xml:space="preserve">   из нее весенне-осенняя</t>
  </si>
  <si>
    <t xml:space="preserve">   из нее домашняя с верхом из кожи</t>
  </si>
  <si>
    <t xml:space="preserve">   из нее детская зимняя с верхом из кожи</t>
  </si>
  <si>
    <t>15.20.13.180</t>
  </si>
  <si>
    <t xml:space="preserve">   из нее детская прочая с верхом из кожи, кроме зимней</t>
  </si>
  <si>
    <t xml:space="preserve">   из нее  прочая с верхом из кожи</t>
  </si>
  <si>
    <t>15.20.14.111</t>
  </si>
  <si>
    <t xml:space="preserve">   из нее летняя с верхом из текстильных материалов</t>
  </si>
  <si>
    <t>15.20.14.112</t>
  </si>
  <si>
    <t xml:space="preserve">   из нее зимняя с верхом из текстильных материалов</t>
  </si>
  <si>
    <t>15.20.14.113</t>
  </si>
  <si>
    <t xml:space="preserve">   из нее весенне-осенняя из текстильных материалов</t>
  </si>
  <si>
    <t>15.20.14.114</t>
  </si>
  <si>
    <t xml:space="preserve">   из нее домашняя с верхом из текстильных материалов</t>
  </si>
  <si>
    <t>15.20.14.143</t>
  </si>
  <si>
    <t xml:space="preserve">   из нее детская прочая с верхом из текстильных материалов, кроме зимней</t>
  </si>
  <si>
    <t>15.20.21.150</t>
  </si>
  <si>
    <t xml:space="preserve">Лесоматериалы необработанные, окрашенные, протравленные, обработанные креозотом </t>
  </si>
  <si>
    <t>Ящики и коробки складывающиеся из негофрированной бумаги или картона</t>
  </si>
  <si>
    <t>тыс. рулонов</t>
  </si>
  <si>
    <t>Конверты, карточки почтовые, коробки, сумки, футляры, наборы почтовые из бумаги</t>
  </si>
  <si>
    <t>Удобрения минеральные или химические, содержащие два или три питательных элемента</t>
  </si>
  <si>
    <t>Лаки на основе сложных полиэфиров, акрил. или винил. полимеров в неводной среде</t>
  </si>
  <si>
    <t>Краски на основе сложных полиэфиров, акрил. или винил. полимеров в неводной среде</t>
  </si>
  <si>
    <t>Грунтовки на основе сложных полиэфиров, акрил. или винил. полимеров в неводной среде</t>
  </si>
  <si>
    <t>Слюдопласты</t>
  </si>
  <si>
    <t>20.58.20</t>
  </si>
  <si>
    <t xml:space="preserve">Сетка армирующая </t>
  </si>
  <si>
    <t>Плиты, листы, пленка и прочие плоские формы шириной не более 20 см из пластмасс</t>
  </si>
  <si>
    <t>Плиты, листы, пленка и прочие плоские формы самоклеящиеся из пластмасс прочие</t>
  </si>
  <si>
    <t>Части и детали из пластмасс для ламп и осветительной арматуры и аналогичных изделий</t>
  </si>
  <si>
    <t>23.61.11.191</t>
  </si>
  <si>
    <t xml:space="preserve">   из нее плитка тротуарная</t>
  </si>
  <si>
    <t>23.61.12.162</t>
  </si>
  <si>
    <t xml:space="preserve">   из них опоры ЛЭП, связи и элементы контактной сети электрифиц. дорог</t>
  </si>
  <si>
    <t>23.61.12.163</t>
  </si>
  <si>
    <t xml:space="preserve">   из них шпалы и брусья железобетонные</t>
  </si>
  <si>
    <t>23.61.12.171</t>
  </si>
  <si>
    <t xml:space="preserve">   из них элементы лестниц железобетонные</t>
  </si>
  <si>
    <t>23.61.12.172</t>
  </si>
  <si>
    <t xml:space="preserve">   из них блоки коммуникаций железобетонные</t>
  </si>
  <si>
    <t>23.61.12.175</t>
  </si>
  <si>
    <t xml:space="preserve">   из них детали лифтовых и вентиляционных шахт железобетонные</t>
  </si>
  <si>
    <t>23.61.12.178</t>
  </si>
  <si>
    <t xml:space="preserve">   из них элементы оград железобетонные</t>
  </si>
  <si>
    <t>23.61.12.190</t>
  </si>
  <si>
    <t xml:space="preserve">   из них конструкции сборные строительные железобетонные прочие</t>
  </si>
  <si>
    <t>Услуги по обработке металлов и нанесению покрытий на них; услуги по обработке металлических изделий с использованием основных технологических процессов</t>
  </si>
  <si>
    <t>Услуги по обработке металлических изделий с использованием технологических процессов машиностроения</t>
  </si>
  <si>
    <t>Проволока скрученная, канаты, шнуры плетеные и аналогичные изделия из черных металлов без электрической изоляции</t>
  </si>
  <si>
    <t>25.99.2</t>
  </si>
  <si>
    <t>Металлоизделия готовые прочие</t>
  </si>
  <si>
    <t>25.99.9</t>
  </si>
  <si>
    <t>Услуги по производству прочих металлических изделий, не включенных в другие группировки</t>
  </si>
  <si>
    <t xml:space="preserve">Электродвигатели  переменного тока однофазные </t>
  </si>
  <si>
    <t>27.11.22.110</t>
  </si>
  <si>
    <t xml:space="preserve">   из них электродвигатели  переменного тока однофазные мощностью не более 0,75 кВт</t>
  </si>
  <si>
    <t>27.11.22.120</t>
  </si>
  <si>
    <t xml:space="preserve">   из них электродвигатели  переменного тока однофазные мощностью более 0,75 кВт</t>
  </si>
  <si>
    <t>Электродвигатели переменного тока трехфазные мощностью не более 0,75 кВт</t>
  </si>
  <si>
    <t>27.11.25.100</t>
  </si>
  <si>
    <t>27.11.25.200</t>
  </si>
  <si>
    <t>Электродвигатели переменного тока трехфазные  мощностью от 37 кВт до 75 кВт</t>
  </si>
  <si>
    <t>27.11.25.300</t>
  </si>
  <si>
    <t>Электродвигатели переменного тока трехфазные  мощностью от 75 кВт до 375 кВт</t>
  </si>
  <si>
    <t>27.11.25.400</t>
  </si>
  <si>
    <t>Электродвигатели переменного тока трехфазные  мощностью от 375 кВт до 750 кВт</t>
  </si>
  <si>
    <t>27.11.25.500</t>
  </si>
  <si>
    <t>Электродвигатели переменного тока трехфазные  мощностью более 750 кВт</t>
  </si>
  <si>
    <t>Генераторы переменного тока</t>
  </si>
  <si>
    <t>27.11.26.100</t>
  </si>
  <si>
    <t xml:space="preserve">   из них генераторы переменного тока мощностью не более 75 кВт/кВА</t>
  </si>
  <si>
    <t>27.11.26.200</t>
  </si>
  <si>
    <t xml:space="preserve">   из них генераторы переменного тока мощностью от 75 кВт/кВА до 375 кВт/кВА</t>
  </si>
  <si>
    <t>27.11.26.300</t>
  </si>
  <si>
    <t xml:space="preserve">   из них генераторы переменного тока мощностьют от 375 кВт/кВА до 750 кВт/кВА</t>
  </si>
  <si>
    <t>27.11.26.400</t>
  </si>
  <si>
    <t xml:space="preserve">   из них генераторы переменного тока мощностью более 750 кВт/кВА</t>
  </si>
  <si>
    <t>Разъемы, розетки и прочая аппаратуры коммутации или защиты электрических цепей</t>
  </si>
  <si>
    <t>27.40.39</t>
  </si>
  <si>
    <t>Светильники и осветительные устройства прочие, не включенные в другие группировки</t>
  </si>
  <si>
    <t>Насосы центробежные подачи жидкостей прочие</t>
  </si>
  <si>
    <t>28.13.14.130</t>
  </si>
  <si>
    <t xml:space="preserve">   из них погружные</t>
  </si>
  <si>
    <t>28.13.14.140</t>
  </si>
  <si>
    <t xml:space="preserve">   из них непогружные</t>
  </si>
  <si>
    <t>28.13.27</t>
  </si>
  <si>
    <t xml:space="preserve">Компрессоры центробежные </t>
  </si>
  <si>
    <t>28.13.3</t>
  </si>
  <si>
    <t>Части насосов и компрессоров</t>
  </si>
  <si>
    <t>Оборудование для виноделия,  фруктовых соков или аналогичных напитков</t>
  </si>
  <si>
    <t>30.0</t>
  </si>
  <si>
    <t>30.30.50.110</t>
  </si>
  <si>
    <t>Комплектующие (запасные части) летательных аппаратов</t>
  </si>
  <si>
    <t>Изделия готовые прочие</t>
  </si>
  <si>
    <t>32.30.14.115</t>
  </si>
  <si>
    <t>Инвентарь и оборудование для тяжелой атлетики</t>
  </si>
  <si>
    <t>33.11.1</t>
  </si>
  <si>
    <t>Услуги по ремонту и техническому обслуживанию металлоизделий</t>
  </si>
  <si>
    <t>33.14.11</t>
  </si>
  <si>
    <t>Услуги по ремонту и техническому обслуживанию электродвигателей, генераторов, трансформаторов и распределительной и регулирующей аппаратуры для электричества</t>
  </si>
  <si>
    <t>33.14.19</t>
  </si>
  <si>
    <t>Услуги по ремонту и техническому обслуживанию прочего профессионального электрического оборудования</t>
  </si>
  <si>
    <t xml:space="preserve">Услуги по ремонту и техническому обслуживанию прочих транспортных средств </t>
  </si>
  <si>
    <t>Услуги по сбору прочих неопасных отходов, пригодных для повторного использования</t>
  </si>
  <si>
    <t xml:space="preserve">Добро пожаловать в шаблон формы № 1 - П! </t>
  </si>
  <si>
    <t>Для предоставления правильного отчета, необходимо соблюдать правила:</t>
  </si>
  <si>
    <t xml:space="preserve">1. Ни в коем случае защиту листа НЕ снимать! Снятие защиты листа приводит к нарушению валидации и, как следствие, Вами будет направлен испорченный отчет! </t>
  </si>
  <si>
    <t>2.  Заполнять СТРОГО с одним знаком после запятой, Excel учитывает каждую проставленную цифру после запятой, даже если вы ее не видите!</t>
  </si>
  <si>
    <t>3. Так же недопустимо в отчете вместо данных или нулей проставление слова "нет", знака "Х" и отдельно стоящего "-"!</t>
  </si>
  <si>
    <t>Производство хлебобулочных и мучных изделий</t>
  </si>
  <si>
    <t xml:space="preserve">   из них коктейли винные</t>
  </si>
  <si>
    <t>Журналы регистрационные</t>
  </si>
  <si>
    <t>18.12.12.000</t>
  </si>
  <si>
    <t>Услуги по печатанию по торгово-рекламных каталогов, проспектов, плакатов</t>
  </si>
  <si>
    <t>Ванны, раковины для умывальников, сиденья и крышки и аналогичные санитарно-технические изделия пластмассовые</t>
  </si>
  <si>
    <t>Ткань металлическая, решетки, сетки и ограждения из проволоки из чер. метал. или меди</t>
  </si>
  <si>
    <t>29.32.30.390</t>
  </si>
  <si>
    <t>Части и принадлежности для автотранспортных средств прочие</t>
  </si>
  <si>
    <t>32.13.10.120</t>
  </si>
  <si>
    <t>Награды</t>
  </si>
  <si>
    <t>из него внутризаво-дской оборот</t>
  </si>
  <si>
    <t>Мясо и прочие продукты убоя, включая мясо консервированное</t>
  </si>
  <si>
    <t xml:space="preserve">   изних пюре томатное</t>
  </si>
  <si>
    <t>15.20.9</t>
  </si>
  <si>
    <t>Услуги по производству обуви</t>
  </si>
  <si>
    <t>25.99.29.210</t>
  </si>
  <si>
    <t>Фибра стальная</t>
  </si>
  <si>
    <t>Электродвигатели переменного тока трехфазные мощностью от 0,75 кВт до 7,5 кВт</t>
  </si>
  <si>
    <t>Электродвигатели переменного тока трехфазные  мощностью от 7,5 кВт до 37 кВт</t>
  </si>
  <si>
    <t>32.0</t>
  </si>
  <si>
    <t>Изделия из мяса и мяса птицы, для употребления в пищу   в соленом, вареном, запеченном, копченом, жареном</t>
  </si>
  <si>
    <t>Стоимость запасов готовой продукции в фактических отпускных ценах за вычетом акцизов и экспортных пошлин на конец отчетного периода (без продукции из давальческого сырья)</t>
  </si>
  <si>
    <t>14.13.24.140</t>
  </si>
  <si>
    <t xml:space="preserve">   из них жилеты мужские или для мальчиков из текстильных материалов</t>
  </si>
  <si>
    <t>14.13.35.140</t>
  </si>
  <si>
    <t xml:space="preserve">   из них жилеты женские или для девочек из текстильных материалов</t>
  </si>
  <si>
    <t>Производство прочего электрического оборудования</t>
  </si>
  <si>
    <t>27.32.13.124</t>
  </si>
  <si>
    <t>Кабели силовые гибкие общего назначения</t>
  </si>
  <si>
    <t>08.11.11.110</t>
  </si>
  <si>
    <t>Мрамор  для памятников или строительства</t>
  </si>
  <si>
    <t xml:space="preserve">Камень известняковый для памятников или строительства </t>
  </si>
  <si>
    <t>08.11.12</t>
  </si>
  <si>
    <t xml:space="preserve">Гранит, песчаник и прочий камень для памятников или строительства </t>
  </si>
  <si>
    <t>08.11.30</t>
  </si>
  <si>
    <t>Мел и некальцинированный доломит</t>
  </si>
  <si>
    <t>Производство электроосветительного оборудования</t>
  </si>
  <si>
    <t xml:space="preserve">   из них хлеб из  пшеничной муки</t>
  </si>
  <si>
    <t xml:space="preserve">   из них хлеб  из ржаной и смеси ржаной и пшеничной муки</t>
  </si>
  <si>
    <t xml:space="preserve">   из них булочные изделия недлительного хранения</t>
  </si>
  <si>
    <t xml:space="preserve">   из них изделия хлебобулочные сдобные</t>
  </si>
  <si>
    <t xml:space="preserve">    из них изделия хлебобулочные слоеные</t>
  </si>
  <si>
    <t xml:space="preserve">    из них пироги, пирожки и пончики, в том числе изделия хлебобулочные жареные</t>
  </si>
  <si>
    <t xml:space="preserve">    из них хлебобулочные изделия с зерновыми продуктами</t>
  </si>
  <si>
    <t xml:space="preserve">   из них  бараночные изделия</t>
  </si>
  <si>
    <t xml:space="preserve">   из них  сухарные изделия</t>
  </si>
  <si>
    <t xml:space="preserve">   из них пряники</t>
  </si>
  <si>
    <t xml:space="preserve">   из них кексы</t>
  </si>
  <si>
    <t xml:space="preserve">   из них рулеты</t>
  </si>
  <si>
    <t xml:space="preserve">   из них печенье сладкое</t>
  </si>
  <si>
    <t xml:space="preserve">   из них вафли и облатки вафельные</t>
  </si>
  <si>
    <t xml:space="preserve">   из них печенье сухое (галеты и крекеры)</t>
  </si>
  <si>
    <t xml:space="preserve">   из них пироги, пирожки, пончики длительного хранения</t>
  </si>
  <si>
    <t xml:space="preserve">   из их полуфабрикаты хлебобулочные замороженные</t>
  </si>
  <si>
    <t>Обувь с верхом из текстильных материалов, кроме спортивной обуви</t>
  </si>
  <si>
    <t xml:space="preserve">   из нее детские туфли комнатные с верхом из текстильных материалов</t>
  </si>
  <si>
    <t xml:space="preserve">   из нее детская зимняя с верхом из текстильных материалов</t>
  </si>
  <si>
    <t>15.20.40.100</t>
  </si>
  <si>
    <t>Детали обуви из текстильных материалов</t>
  </si>
  <si>
    <t>10.71.11.190</t>
  </si>
  <si>
    <t xml:space="preserve">    из них изделия хлебобулочные недлительного хранения прочие</t>
  </si>
  <si>
    <t>10.71.12.130</t>
  </si>
  <si>
    <t xml:space="preserve">   из них продукты, полученные путем экструзии или расширения теста</t>
  </si>
  <si>
    <t>стр. 30 гр.7=стр. 05 гр.1</t>
  </si>
  <si>
    <t>стр. 30 гр.8=стр. 05 гр.2</t>
  </si>
  <si>
    <t>стр. 30 гр.9=стр. 05 гр.3</t>
  </si>
  <si>
    <t>26.20.13</t>
  </si>
  <si>
    <t>Машины вычислительные электронные цифровые и устройство ввода и вывода</t>
  </si>
  <si>
    <t>шт.</t>
  </si>
  <si>
    <t>27.32.15</t>
  </si>
  <si>
    <t>Прочая кабельная продукция</t>
  </si>
  <si>
    <t>22.19.73.110</t>
  </si>
  <si>
    <t>Изделия технического назначения из вулканизированной резины, не включенные в другие группировки</t>
  </si>
  <si>
    <t>22.11</t>
  </si>
  <si>
    <t>10.20.16</t>
  </si>
  <si>
    <t>Печень и молоки рыбы мороженые</t>
  </si>
  <si>
    <t>Филе рыбное, прочее мясо рыбы (включая фарш) свежее или охлажденное</t>
  </si>
  <si>
    <t xml:space="preserve">   из них рыба и филе рыб холодного копчения (кроме сельди)</t>
  </si>
  <si>
    <t xml:space="preserve">   из них рыба и филе рыб горячего копчения (кроме сельди)</t>
  </si>
  <si>
    <t>32.99.23</t>
  </si>
  <si>
    <t>Кнопки, пуговицы и прочие аналогичные изделия металлические</t>
  </si>
  <si>
    <t>тыс. шт.</t>
  </si>
  <si>
    <t>ID уточняющего отчета</t>
  </si>
  <si>
    <t>1-П месяц</t>
  </si>
  <si>
    <t>г. Тирасполь</t>
  </si>
  <si>
    <t>Сорочан А.А.</t>
  </si>
  <si>
    <t>(553) 1-23-45</t>
  </si>
  <si>
    <t>ООО "РОМАШКА"</t>
  </si>
  <si>
    <t>За Июнь, 2022 года</t>
  </si>
  <si>
    <t>09-999-9999</t>
  </si>
  <si>
    <t>0299999999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</si>
</sst>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 mmmm\ yyyy"/>
    <numFmt numFmtId="165" formatCode="00000000"/>
    <numFmt numFmtId="166" formatCode="0.0"/>
    <numFmt numFmtId="167" formatCode="#,##0.0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2"/>
      <color rgb="FF000000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9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10"/>
      <name val="Arial Cyr"/>
      <charset val="238"/>
    </font>
    <font>
      <vertAlign val="superscript"/>
      <sz val="9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sz val="9"/>
      <color rgb="FFFF0000"/>
      <name val="Times New Roman"/>
      <family val="1"/>
      <charset val="204"/>
    </font>
    <font>
      <b/>
      <sz val="9"/>
      <color rgb="FF26282F"/>
      <name val="Times New Roman"/>
      <family val="1"/>
      <charset val="204"/>
    </font>
    <font>
      <sz val="9"/>
      <color theme="1"/>
      <name val="Calibri"/>
      <family val="2"/>
      <scheme val="minor"/>
    </font>
    <font>
      <sz val="9"/>
      <color theme="1"/>
      <name val="Arial"/>
      <family val="2"/>
      <charset val="204"/>
    </font>
    <font>
      <b/>
      <sz val="14"/>
      <color rgb="FFFF0000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8FBC8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slantDashDot">
        <color rgb="FFFF0000"/>
      </left>
      <right/>
      <top style="slantDashDot">
        <color rgb="FFFF0000"/>
      </top>
      <bottom/>
      <diagonal/>
    </border>
    <border>
      <left/>
      <right/>
      <top style="slantDashDot">
        <color rgb="FFFF0000"/>
      </top>
      <bottom/>
      <diagonal/>
    </border>
    <border>
      <left/>
      <right style="slantDashDot">
        <color rgb="FFFF0000"/>
      </right>
      <top style="slantDashDot">
        <color rgb="FFFF0000"/>
      </top>
      <bottom/>
      <diagonal/>
    </border>
    <border>
      <left style="slantDashDot">
        <color rgb="FFFF0000"/>
      </left>
      <right/>
      <top/>
      <bottom/>
      <diagonal/>
    </border>
    <border>
      <left/>
      <right style="slantDashDot">
        <color rgb="FFFF0000"/>
      </right>
      <top/>
      <bottom/>
      <diagonal/>
    </border>
    <border>
      <left style="slantDashDot">
        <color rgb="FFFF0000"/>
      </left>
      <right/>
      <top/>
      <bottom style="slantDashDot">
        <color rgb="FFFF0000"/>
      </bottom>
      <diagonal/>
    </border>
    <border>
      <left/>
      <right/>
      <top/>
      <bottom style="slantDashDot">
        <color rgb="FFFF0000"/>
      </bottom>
      <diagonal/>
    </border>
    <border>
      <left/>
      <right style="slantDashDot">
        <color rgb="FFFF0000"/>
      </right>
      <top/>
      <bottom style="slantDashDot">
        <color rgb="FFFF0000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6" fillId="0" borderId="0"/>
    <xf numFmtId="0" fontId="1" fillId="0" borderId="0"/>
  </cellStyleXfs>
  <cellXfs count="354">
    <xf numFmtId="0" fontId="0" fillId="0" borderId="0" xfId="0"/>
    <xf numFmtId="0" fontId="0" fillId="2" borderId="1" xfId="0" applyFill="1" applyBorder="1"/>
    <xf numFmtId="49" fontId="0" fillId="0" borderId="1" xfId="0" applyNumberFormat="1" applyBorder="1" applyAlignment="1" applyProtection="1">
      <alignment horizontal="left"/>
      <protection locked="0"/>
    </xf>
    <xf numFmtId="1" fontId="0" fillId="0" borderId="1" xfId="0" applyNumberFormat="1" applyBorder="1" applyAlignment="1" applyProtection="1">
      <alignment horizontal="left"/>
      <protection locked="0"/>
    </xf>
    <xf numFmtId="164" fontId="0" fillId="0" borderId="1" xfId="0" applyNumberFormat="1" applyBorder="1" applyAlignment="1" applyProtection="1">
      <alignment horizontal="left"/>
      <protection locked="0"/>
    </xf>
    <xf numFmtId="0" fontId="4" fillId="3" borderId="2" xfId="0" applyFont="1" applyFill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4" fillId="3" borderId="6" xfId="0" applyFont="1" applyFill="1" applyBorder="1" applyAlignment="1">
      <alignment vertical="center" wrapText="1"/>
    </xf>
    <xf numFmtId="0" fontId="2" fillId="0" borderId="0" xfId="0" applyFont="1"/>
    <xf numFmtId="165" fontId="4" fillId="0" borderId="7" xfId="0" applyNumberFormat="1" applyFont="1" applyBorder="1" applyAlignment="1" applyProtection="1">
      <alignment horizontal="left" vertical="center" wrapText="1"/>
      <protection locked="0"/>
    </xf>
    <xf numFmtId="0" fontId="5" fillId="0" borderId="0" xfId="0" applyFont="1"/>
    <xf numFmtId="0" fontId="6" fillId="0" borderId="0" xfId="0" applyFont="1" applyAlignment="1"/>
    <xf numFmtId="0" fontId="8" fillId="0" borderId="1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49" fontId="8" fillId="0" borderId="1" xfId="0" applyNumberFormat="1" applyFont="1" applyBorder="1" applyAlignment="1">
      <alignment horizontal="center" wrapText="1"/>
    </xf>
    <xf numFmtId="166" fontId="8" fillId="0" borderId="1" xfId="0" applyNumberFormat="1" applyFont="1" applyBorder="1" applyAlignment="1">
      <alignment horizontal="left" vertical="center" wrapText="1"/>
    </xf>
    <xf numFmtId="0" fontId="0" fillId="0" borderId="16" xfId="0" applyBorder="1"/>
    <xf numFmtId="0" fontId="0" fillId="0" borderId="0" xfId="0" applyBorder="1"/>
    <xf numFmtId="0" fontId="8" fillId="0" borderId="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10" fillId="0" borderId="0" xfId="0" applyFont="1"/>
    <xf numFmtId="0" fontId="8" fillId="0" borderId="0" xfId="0" applyFont="1"/>
    <xf numFmtId="0" fontId="8" fillId="0" borderId="9" xfId="0" applyFont="1" applyBorder="1" applyAlignment="1">
      <alignment wrapText="1"/>
    </xf>
    <xf numFmtId="0" fontId="8" fillId="0" borderId="9" xfId="0" applyFont="1" applyBorder="1" applyAlignment="1">
      <alignment horizontal="center"/>
    </xf>
    <xf numFmtId="167" fontId="9" fillId="4" borderId="9" xfId="0" applyNumberFormat="1" applyFont="1" applyFill="1" applyBorder="1" applyAlignment="1">
      <alignment horizontal="right" indent="1"/>
    </xf>
    <xf numFmtId="0" fontId="8" fillId="5" borderId="13" xfId="0" applyFont="1" applyFill="1" applyBorder="1" applyAlignment="1">
      <alignment horizontal="left"/>
    </xf>
    <xf numFmtId="0" fontId="8" fillId="5" borderId="17" xfId="0" applyFont="1" applyFill="1" applyBorder="1"/>
    <xf numFmtId="0" fontId="8" fillId="5" borderId="18" xfId="0" applyFont="1" applyFill="1" applyBorder="1"/>
    <xf numFmtId="1" fontId="8" fillId="0" borderId="0" xfId="0" applyNumberFormat="1" applyFont="1"/>
    <xf numFmtId="1" fontId="11" fillId="0" borderId="0" xfId="0" applyNumberFormat="1" applyFont="1"/>
    <xf numFmtId="0" fontId="11" fillId="0" borderId="0" xfId="0" applyFont="1"/>
    <xf numFmtId="0" fontId="8" fillId="0" borderId="0" xfId="0" applyFont="1" applyAlignment="1">
      <alignment horizontal="center"/>
    </xf>
    <xf numFmtId="167" fontId="8" fillId="0" borderId="0" xfId="0" applyNumberFormat="1" applyFont="1" applyProtection="1">
      <protection locked="0"/>
    </xf>
    <xf numFmtId="0" fontId="8" fillId="0" borderId="20" xfId="0" applyFont="1" applyBorder="1" applyAlignment="1">
      <alignment horizontal="center"/>
    </xf>
    <xf numFmtId="0" fontId="8" fillId="0" borderId="20" xfId="0" applyFont="1" applyBorder="1"/>
    <xf numFmtId="0" fontId="8" fillId="6" borderId="19" xfId="0" applyFont="1" applyFill="1" applyBorder="1"/>
    <xf numFmtId="0" fontId="8" fillId="0" borderId="21" xfId="0" applyFont="1" applyBorder="1"/>
    <xf numFmtId="0" fontId="8" fillId="0" borderId="22" xfId="0" applyFont="1" applyBorder="1"/>
    <xf numFmtId="0" fontId="8" fillId="0" borderId="23" xfId="0" applyFont="1" applyBorder="1"/>
    <xf numFmtId="0" fontId="8" fillId="0" borderId="24" xfId="0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6" borderId="26" xfId="0" applyFont="1" applyFill="1" applyBorder="1" applyAlignment="1"/>
    <xf numFmtId="0" fontId="8" fillId="6" borderId="27" xfId="0" applyFont="1" applyFill="1" applyBorder="1"/>
    <xf numFmtId="0" fontId="8" fillId="0" borderId="24" xfId="0" applyFont="1" applyBorder="1"/>
    <xf numFmtId="0" fontId="8" fillId="0" borderId="25" xfId="0" applyFont="1" applyBorder="1"/>
    <xf numFmtId="0" fontId="8" fillId="6" borderId="28" xfId="0" applyFont="1" applyFill="1" applyBorder="1" applyAlignment="1"/>
    <xf numFmtId="0" fontId="8" fillId="6" borderId="29" xfId="0" applyFont="1" applyFill="1" applyBorder="1"/>
    <xf numFmtId="0" fontId="8" fillId="6" borderId="30" xfId="0" applyFont="1" applyFill="1" applyBorder="1"/>
    <xf numFmtId="1" fontId="8" fillId="0" borderId="24" xfId="0" applyNumberFormat="1" applyFont="1" applyBorder="1" applyAlignment="1">
      <alignment horizontal="center"/>
    </xf>
    <xf numFmtId="49" fontId="8" fillId="0" borderId="20" xfId="0" applyNumberFormat="1" applyFont="1" applyBorder="1"/>
    <xf numFmtId="167" fontId="8" fillId="0" borderId="20" xfId="0" applyNumberFormat="1" applyFont="1" applyBorder="1"/>
    <xf numFmtId="167" fontId="9" fillId="4" borderId="9" xfId="0" applyNumberFormat="1" applyFont="1" applyFill="1" applyBorder="1" applyAlignment="1">
      <alignment horizontal="right"/>
    </xf>
    <xf numFmtId="167" fontId="9" fillId="0" borderId="1" xfId="0" applyNumberFormat="1" applyFont="1" applyBorder="1" applyAlignment="1" applyProtection="1">
      <alignment horizontal="right"/>
      <protection locked="0"/>
    </xf>
    <xf numFmtId="2" fontId="12" fillId="0" borderId="13" xfId="0" applyNumberFormat="1" applyFont="1" applyBorder="1" applyAlignment="1">
      <alignment horizontal="center" vertical="center" wrapText="1"/>
    </xf>
    <xf numFmtId="2" fontId="12" fillId="0" borderId="13" xfId="0" applyNumberFormat="1" applyFont="1" applyBorder="1" applyAlignment="1">
      <alignment horizontal="center" wrapText="1"/>
    </xf>
    <xf numFmtId="0" fontId="12" fillId="0" borderId="13" xfId="0" applyFont="1" applyBorder="1" applyAlignment="1">
      <alignment horizontal="center" vertical="center" wrapText="1"/>
    </xf>
    <xf numFmtId="2" fontId="12" fillId="0" borderId="10" xfId="0" applyNumberFormat="1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0" fontId="8" fillId="5" borderId="13" xfId="0" applyFont="1" applyFill="1" applyBorder="1"/>
    <xf numFmtId="0" fontId="8" fillId="5" borderId="19" xfId="0" applyFont="1" applyFill="1" applyBorder="1"/>
    <xf numFmtId="49" fontId="9" fillId="0" borderId="1" xfId="0" applyNumberFormat="1" applyFont="1" applyBorder="1" applyAlignment="1" applyProtection="1">
      <alignment horizontal="center"/>
    </xf>
    <xf numFmtId="49" fontId="8" fillId="0" borderId="0" xfId="0" applyNumberFormat="1" applyFont="1" applyAlignment="1" applyProtection="1">
      <alignment horizontal="left"/>
      <protection locked="0"/>
    </xf>
    <xf numFmtId="0" fontId="8" fillId="0" borderId="0" xfId="0" applyNumberFormat="1" applyFont="1" applyAlignment="1" applyProtection="1">
      <alignment horizontal="center"/>
    </xf>
    <xf numFmtId="0" fontId="14" fillId="0" borderId="20" xfId="0" applyFont="1" applyFill="1" applyBorder="1" applyAlignment="1">
      <alignment horizontal="right" vertical="top" wrapText="1"/>
    </xf>
    <xf numFmtId="0" fontId="0" fillId="0" borderId="20" xfId="0" applyBorder="1"/>
    <xf numFmtId="0" fontId="8" fillId="0" borderId="0" xfId="0" applyNumberFormat="1" applyFont="1" applyBorder="1" applyAlignment="1">
      <alignment horizontal="center" vertical="center" wrapText="1"/>
    </xf>
    <xf numFmtId="0" fontId="8" fillId="0" borderId="0" xfId="0" applyNumberFormat="1" applyFont="1" applyAlignment="1">
      <alignment horizontal="center"/>
    </xf>
    <xf numFmtId="0" fontId="12" fillId="0" borderId="0" xfId="0" applyFont="1"/>
    <xf numFmtId="49" fontId="13" fillId="0" borderId="20" xfId="1" applyNumberFormat="1" applyFont="1" applyFill="1" applyBorder="1" applyAlignment="1">
      <alignment horizontal="left" vertical="top"/>
    </xf>
    <xf numFmtId="0" fontId="14" fillId="0" borderId="20" xfId="1" applyFont="1" applyFill="1" applyBorder="1" applyAlignment="1">
      <alignment horizontal="left"/>
    </xf>
    <xf numFmtId="0" fontId="13" fillId="0" borderId="20" xfId="1" applyFont="1" applyFill="1" applyBorder="1" applyAlignment="1">
      <alignment horizontal="center" vertical="top" wrapText="1"/>
    </xf>
    <xf numFmtId="0" fontId="13" fillId="0" borderId="20" xfId="1" applyFont="1" applyFill="1" applyBorder="1" applyAlignment="1">
      <alignment horizontal="left" vertical="center" wrapText="1"/>
    </xf>
    <xf numFmtId="0" fontId="14" fillId="0" borderId="20" xfId="1" applyFont="1" applyFill="1" applyBorder="1" applyAlignment="1">
      <alignment horizontal="right" vertical="top" wrapText="1"/>
    </xf>
    <xf numFmtId="0" fontId="0" fillId="0" borderId="20" xfId="0" applyBorder="1" applyProtection="1">
      <protection locked="0"/>
    </xf>
    <xf numFmtId="0" fontId="14" fillId="0" borderId="20" xfId="1" applyFont="1" applyFill="1" applyBorder="1" applyAlignment="1" applyProtection="1">
      <alignment horizontal="right" vertical="top" wrapText="1"/>
      <protection locked="0"/>
    </xf>
    <xf numFmtId="0" fontId="13" fillId="0" borderId="20" xfId="1" applyFont="1" applyFill="1" applyBorder="1" applyAlignment="1">
      <alignment vertical="center" wrapText="1"/>
    </xf>
    <xf numFmtId="0" fontId="14" fillId="0" borderId="14" xfId="1" applyFont="1" applyFill="1" applyBorder="1" applyAlignment="1">
      <alignment horizontal="right" vertical="top" wrapText="1"/>
    </xf>
    <xf numFmtId="0" fontId="14" fillId="0" borderId="9" xfId="1" applyFont="1" applyFill="1" applyBorder="1" applyAlignment="1">
      <alignment horizontal="right" vertical="top" wrapText="1"/>
    </xf>
    <xf numFmtId="0" fontId="14" fillId="0" borderId="12" xfId="1" applyFont="1" applyFill="1" applyBorder="1" applyAlignment="1">
      <alignment horizontal="right" vertical="top" wrapText="1"/>
    </xf>
    <xf numFmtId="0" fontId="14" fillId="0" borderId="18" xfId="1" applyFont="1" applyFill="1" applyBorder="1" applyAlignment="1">
      <alignment horizontal="right" vertical="top" wrapText="1"/>
    </xf>
    <xf numFmtId="0" fontId="12" fillId="0" borderId="20" xfId="0" applyFont="1" applyBorder="1" applyAlignment="1">
      <alignment horizontal="justify" vertical="center" wrapText="1"/>
    </xf>
    <xf numFmtId="0" fontId="14" fillId="0" borderId="20" xfId="1" applyFont="1" applyFill="1" applyBorder="1" applyAlignment="1">
      <alignment horizontal="right" wrapText="1"/>
    </xf>
    <xf numFmtId="0" fontId="14" fillId="0" borderId="20" xfId="0" applyFont="1" applyFill="1" applyBorder="1" applyAlignment="1">
      <alignment wrapText="1"/>
    </xf>
    <xf numFmtId="0" fontId="14" fillId="0" borderId="20" xfId="0" applyFont="1" applyFill="1" applyBorder="1" applyAlignment="1"/>
    <xf numFmtId="0" fontId="14" fillId="0" borderId="18" xfId="0" applyFont="1" applyFill="1" applyBorder="1" applyAlignment="1"/>
    <xf numFmtId="0" fontId="14" fillId="0" borderId="20" xfId="1" applyFont="1" applyFill="1" applyBorder="1" applyAlignment="1" applyProtection="1">
      <alignment vertical="top" wrapText="1"/>
      <protection locked="0"/>
    </xf>
    <xf numFmtId="0" fontId="14" fillId="7" borderId="20" xfId="0" applyFont="1" applyFill="1" applyBorder="1" applyAlignment="1">
      <alignment wrapText="1"/>
    </xf>
    <xf numFmtId="0" fontId="14" fillId="0" borderId="20" xfId="1" applyFont="1" applyFill="1" applyBorder="1" applyProtection="1">
      <protection locked="0"/>
    </xf>
    <xf numFmtId="0" fontId="14" fillId="7" borderId="20" xfId="1" applyFont="1" applyFill="1" applyBorder="1" applyAlignment="1">
      <alignment horizontal="left" wrapText="1"/>
    </xf>
    <xf numFmtId="0" fontId="14" fillId="7" borderId="20" xfId="1" applyFont="1" applyFill="1" applyBorder="1" applyAlignment="1">
      <alignment horizontal="right" vertical="top" wrapText="1"/>
    </xf>
    <xf numFmtId="0" fontId="12" fillId="0" borderId="0" xfId="0" applyFont="1" applyAlignment="1">
      <alignment horizontal="justify" vertical="center" wrapText="1"/>
    </xf>
    <xf numFmtId="0" fontId="14" fillId="0" borderId="31" xfId="1" applyFont="1" applyFill="1" applyBorder="1" applyAlignment="1">
      <alignment horizontal="right" vertical="top" wrapText="1"/>
    </xf>
    <xf numFmtId="0" fontId="14" fillId="0" borderId="18" xfId="1" applyFont="1" applyFill="1" applyBorder="1" applyAlignment="1" applyProtection="1">
      <alignment horizontal="right" vertical="top" wrapText="1"/>
      <protection locked="0"/>
    </xf>
    <xf numFmtId="0" fontId="13" fillId="0" borderId="18" xfId="1" applyFont="1" applyFill="1" applyBorder="1" applyAlignment="1">
      <alignment horizontal="center" wrapText="1"/>
    </xf>
    <xf numFmtId="0" fontId="12" fillId="0" borderId="20" xfId="0" applyFont="1" applyBorder="1" applyAlignment="1">
      <alignment wrapText="1"/>
    </xf>
    <xf numFmtId="0" fontId="12" fillId="0" borderId="0" xfId="0" applyFont="1" applyAlignment="1">
      <alignment horizontal="right"/>
    </xf>
    <xf numFmtId="0" fontId="12" fillId="0" borderId="18" xfId="1" applyFont="1" applyFill="1" applyBorder="1" applyAlignment="1">
      <alignment horizontal="right" vertical="top" wrapText="1"/>
    </xf>
    <xf numFmtId="0" fontId="12" fillId="0" borderId="20" xfId="1" applyFont="1" applyFill="1" applyBorder="1" applyAlignment="1">
      <alignment horizontal="right" vertical="top" wrapText="1"/>
    </xf>
    <xf numFmtId="0" fontId="14" fillId="7" borderId="0" xfId="0" applyFont="1" applyFill="1" applyAlignment="1">
      <alignment wrapText="1"/>
    </xf>
    <xf numFmtId="0" fontId="20" fillId="0" borderId="20" xfId="1" applyFont="1" applyFill="1" applyBorder="1" applyAlignment="1">
      <alignment horizontal="right" vertical="top" wrapText="1"/>
    </xf>
    <xf numFmtId="0" fontId="20" fillId="0" borderId="18" xfId="1" applyFont="1" applyFill="1" applyBorder="1" applyAlignment="1"/>
    <xf numFmtId="0" fontId="21" fillId="0" borderId="0" xfId="0" applyFont="1" applyAlignment="1">
      <alignment horizontal="justify" vertical="center" wrapText="1"/>
    </xf>
    <xf numFmtId="0" fontId="12" fillId="0" borderId="20" xfId="0" applyFont="1" applyBorder="1" applyAlignment="1">
      <alignment horizontal="right" vertical="center" wrapText="1"/>
    </xf>
    <xf numFmtId="0" fontId="12" fillId="0" borderId="20" xfId="0" applyFont="1" applyBorder="1" applyAlignment="1">
      <alignment horizontal="center" vertical="center" wrapText="1"/>
    </xf>
    <xf numFmtId="0" fontId="12" fillId="0" borderId="20" xfId="0" applyFont="1" applyBorder="1"/>
    <xf numFmtId="0" fontId="12" fillId="0" borderId="20" xfId="0" applyFont="1" applyBorder="1" applyAlignment="1">
      <alignment horizontal="right"/>
    </xf>
    <xf numFmtId="0" fontId="18" fillId="0" borderId="20" xfId="0" applyFont="1" applyBorder="1" applyAlignment="1">
      <alignment horizontal="center"/>
    </xf>
    <xf numFmtId="0" fontId="13" fillId="0" borderId="20" xfId="1" applyFont="1" applyFill="1" applyBorder="1" applyAlignment="1">
      <alignment horizontal="left"/>
    </xf>
    <xf numFmtId="0" fontId="13" fillId="0" borderId="13" xfId="1" applyFont="1" applyFill="1" applyBorder="1" applyAlignment="1">
      <alignment horizontal="left"/>
    </xf>
    <xf numFmtId="0" fontId="21" fillId="0" borderId="20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left"/>
    </xf>
    <xf numFmtId="49" fontId="13" fillId="0" borderId="20" xfId="1" applyNumberFormat="1" applyFont="1" applyFill="1" applyBorder="1" applyAlignment="1"/>
    <xf numFmtId="0" fontId="14" fillId="0" borderId="18" xfId="1" applyFont="1" applyFill="1" applyBorder="1" applyAlignment="1">
      <alignment wrapText="1"/>
    </xf>
    <xf numFmtId="0" fontId="14" fillId="0" borderId="18" xfId="1" applyFont="1" applyFill="1" applyBorder="1" applyAlignment="1"/>
    <xf numFmtId="0" fontId="0" fillId="0" borderId="20" xfId="0" applyBorder="1" applyAlignment="1" applyProtection="1">
      <protection locked="0"/>
    </xf>
    <xf numFmtId="0" fontId="14" fillId="0" borderId="18" xfId="1" applyFont="1" applyFill="1" applyBorder="1" applyAlignment="1" applyProtection="1">
      <alignment wrapText="1"/>
      <protection locked="0"/>
    </xf>
    <xf numFmtId="0" fontId="14" fillId="0" borderId="20" xfId="1" applyFont="1" applyFill="1" applyBorder="1" applyAlignment="1"/>
    <xf numFmtId="0" fontId="18" fillId="0" borderId="0" xfId="1" applyFont="1" applyFill="1" applyAlignment="1">
      <alignment horizontal="center" wrapText="1"/>
    </xf>
    <xf numFmtId="0" fontId="13" fillId="0" borderId="20" xfId="1" applyFont="1" applyFill="1" applyBorder="1" applyAlignment="1">
      <alignment horizontal="center" wrapText="1"/>
    </xf>
    <xf numFmtId="49" fontId="14" fillId="0" borderId="31" xfId="1" applyNumberFormat="1" applyFont="1" applyFill="1" applyBorder="1" applyAlignment="1"/>
    <xf numFmtId="0" fontId="14" fillId="0" borderId="31" xfId="1" applyFont="1" applyFill="1" applyBorder="1" applyAlignment="1">
      <alignment wrapText="1"/>
    </xf>
    <xf numFmtId="49" fontId="14" fillId="0" borderId="18" xfId="1" applyNumberFormat="1" applyFont="1" applyFill="1" applyBorder="1" applyAlignment="1"/>
    <xf numFmtId="49" fontId="14" fillId="0" borderId="20" xfId="1" applyNumberFormat="1" applyFont="1" applyFill="1" applyBorder="1" applyAlignment="1"/>
    <xf numFmtId="0" fontId="14" fillId="0" borderId="20" xfId="1" applyFont="1" applyFill="1" applyBorder="1" applyAlignment="1">
      <alignment wrapText="1"/>
    </xf>
    <xf numFmtId="0" fontId="14" fillId="0" borderId="0" xfId="1" applyFont="1" applyAlignment="1"/>
    <xf numFmtId="0" fontId="14" fillId="0" borderId="0" xfId="1" applyFont="1" applyAlignment="1">
      <alignment wrapText="1"/>
    </xf>
    <xf numFmtId="0" fontId="14" fillId="0" borderId="12" xfId="1" applyFont="1" applyFill="1" applyBorder="1" applyAlignment="1">
      <alignment horizontal="right" wrapText="1"/>
    </xf>
    <xf numFmtId="0" fontId="8" fillId="0" borderId="20" xfId="0" applyFont="1" applyBorder="1" applyAlignment="1">
      <alignment wrapText="1"/>
    </xf>
    <xf numFmtId="0" fontId="14" fillId="0" borderId="32" xfId="1" applyFont="1" applyFill="1" applyBorder="1" applyAlignment="1">
      <alignment wrapText="1"/>
    </xf>
    <xf numFmtId="49" fontId="14" fillId="0" borderId="18" xfId="1" applyNumberFormat="1" applyFont="1" applyFill="1" applyBorder="1" applyAlignment="1" applyProtection="1">
      <protection locked="0"/>
    </xf>
    <xf numFmtId="0" fontId="13" fillId="0" borderId="20" xfId="0" applyFont="1" applyFill="1" applyBorder="1" applyAlignment="1" applyProtection="1">
      <alignment wrapText="1"/>
      <protection locked="0"/>
    </xf>
    <xf numFmtId="0" fontId="14" fillId="0" borderId="20" xfId="0" applyFont="1" applyFill="1" applyBorder="1" applyAlignment="1" applyProtection="1">
      <alignment wrapText="1"/>
      <protection locked="0"/>
    </xf>
    <xf numFmtId="0" fontId="14" fillId="0" borderId="18" xfId="0" applyFont="1" applyFill="1" applyBorder="1" applyAlignment="1" applyProtection="1">
      <alignment wrapText="1"/>
      <protection locked="0"/>
    </xf>
    <xf numFmtId="0" fontId="14" fillId="0" borderId="0" xfId="0" applyFont="1" applyAlignment="1" applyProtection="1">
      <protection locked="0"/>
    </xf>
    <xf numFmtId="0" fontId="14" fillId="0" borderId="18" xfId="0" applyFont="1" applyBorder="1" applyAlignment="1"/>
    <xf numFmtId="0" fontId="14" fillId="0" borderId="18" xfId="0" applyFont="1" applyFill="1" applyBorder="1" applyAlignment="1">
      <alignment wrapText="1"/>
    </xf>
    <xf numFmtId="0" fontId="14" fillId="7" borderId="18" xfId="0" applyFont="1" applyFill="1" applyBorder="1" applyAlignment="1">
      <alignment wrapText="1"/>
    </xf>
    <xf numFmtId="49" fontId="13" fillId="0" borderId="13" xfId="1" applyNumberFormat="1" applyFont="1" applyFill="1" applyBorder="1" applyAlignment="1"/>
    <xf numFmtId="0" fontId="14" fillId="0" borderId="20" xfId="1" applyFont="1" applyFill="1" applyBorder="1" applyAlignment="1" applyProtection="1">
      <protection locked="0"/>
    </xf>
    <xf numFmtId="49" fontId="13" fillId="0" borderId="20" xfId="1" applyNumberFormat="1" applyFont="1" applyFill="1" applyBorder="1" applyAlignment="1" applyProtection="1">
      <protection locked="0"/>
    </xf>
    <xf numFmtId="0" fontId="13" fillId="0" borderId="18" xfId="1" applyFont="1" applyFill="1" applyBorder="1" applyAlignment="1" applyProtection="1">
      <alignment wrapText="1"/>
      <protection locked="0"/>
    </xf>
    <xf numFmtId="0" fontId="14" fillId="0" borderId="18" xfId="1" applyFont="1" applyBorder="1" applyAlignment="1" applyProtection="1">
      <protection locked="0"/>
    </xf>
    <xf numFmtId="0" fontId="14" fillId="7" borderId="18" xfId="0" applyFont="1" applyFill="1" applyBorder="1" applyAlignment="1"/>
    <xf numFmtId="0" fontId="14" fillId="0" borderId="20" xfId="0" applyFont="1" applyBorder="1" applyAlignment="1">
      <alignment wrapText="1"/>
    </xf>
    <xf numFmtId="0" fontId="14" fillId="0" borderId="18" xfId="0" applyFont="1" applyBorder="1" applyAlignment="1">
      <alignment wrapText="1"/>
    </xf>
    <xf numFmtId="49" fontId="13" fillId="0" borderId="9" xfId="1" applyNumberFormat="1" applyFont="1" applyFill="1" applyBorder="1" applyAlignment="1"/>
    <xf numFmtId="49" fontId="14" fillId="0" borderId="9" xfId="1" applyNumberFormat="1" applyFont="1" applyFill="1" applyBorder="1" applyAlignment="1"/>
    <xf numFmtId="0" fontId="14" fillId="0" borderId="20" xfId="1" applyFont="1" applyBorder="1" applyAlignment="1">
      <alignment wrapText="1"/>
    </xf>
    <xf numFmtId="0" fontId="14" fillId="0" borderId="12" xfId="1" applyFont="1" applyBorder="1" applyAlignment="1">
      <alignment wrapText="1"/>
    </xf>
    <xf numFmtId="0" fontId="14" fillId="0" borderId="9" xfId="1" applyFont="1" applyBorder="1" applyAlignment="1">
      <alignment wrapText="1"/>
    </xf>
    <xf numFmtId="0" fontId="14" fillId="0" borderId="14" xfId="1" applyFont="1" applyBorder="1" applyAlignment="1">
      <alignment wrapText="1"/>
    </xf>
    <xf numFmtId="49" fontId="13" fillId="0" borderId="10" xfId="1" applyNumberFormat="1" applyFont="1" applyFill="1" applyBorder="1" applyAlignment="1"/>
    <xf numFmtId="0" fontId="14" fillId="7" borderId="20" xfId="1" applyFont="1" applyFill="1" applyBorder="1" applyAlignment="1">
      <alignment wrapText="1"/>
    </xf>
    <xf numFmtId="0" fontId="13" fillId="0" borderId="20" xfId="1" applyFont="1" applyFill="1" applyBorder="1" applyAlignment="1" applyProtection="1">
      <alignment wrapText="1"/>
      <protection locked="0"/>
    </xf>
    <xf numFmtId="0" fontId="14" fillId="0" borderId="20" xfId="1" applyFont="1" applyFill="1" applyBorder="1" applyAlignment="1" applyProtection="1">
      <alignment wrapText="1"/>
      <protection locked="0"/>
    </xf>
    <xf numFmtId="0" fontId="14" fillId="0" borderId="20" xfId="1" applyFont="1" applyBorder="1" applyAlignment="1" applyProtection="1">
      <alignment wrapText="1"/>
      <protection locked="0"/>
    </xf>
    <xf numFmtId="49" fontId="13" fillId="0" borderId="33" xfId="1" applyNumberFormat="1" applyFont="1" applyFill="1" applyBorder="1" applyAlignment="1"/>
    <xf numFmtId="0" fontId="14" fillId="7" borderId="19" xfId="1" applyFont="1" applyFill="1" applyBorder="1" applyAlignment="1">
      <alignment wrapText="1"/>
    </xf>
    <xf numFmtId="0" fontId="14" fillId="7" borderId="18" xfId="1" applyFont="1" applyFill="1" applyBorder="1" applyAlignment="1">
      <alignment wrapText="1"/>
    </xf>
    <xf numFmtId="0" fontId="14" fillId="7" borderId="0" xfId="1" applyFont="1" applyFill="1" applyBorder="1" applyAlignment="1">
      <alignment wrapText="1"/>
    </xf>
    <xf numFmtId="0" fontId="12" fillId="0" borderId="0" xfId="0" applyFont="1" applyAlignment="1">
      <alignment wrapText="1"/>
    </xf>
    <xf numFmtId="0" fontId="14" fillId="7" borderId="9" xfId="1" applyFont="1" applyFill="1" applyBorder="1" applyAlignment="1">
      <alignment wrapText="1"/>
    </xf>
    <xf numFmtId="49" fontId="13" fillId="0" borderId="34" xfId="1" applyNumberFormat="1" applyFont="1" applyFill="1" applyBorder="1" applyAlignment="1"/>
    <xf numFmtId="0" fontId="14" fillId="7" borderId="32" xfId="1" applyFont="1" applyFill="1" applyBorder="1" applyAlignment="1">
      <alignment wrapText="1"/>
    </xf>
    <xf numFmtId="49" fontId="14" fillId="7" borderId="20" xfId="1" applyNumberFormat="1" applyFont="1" applyFill="1" applyBorder="1" applyAlignment="1"/>
    <xf numFmtId="0" fontId="14" fillId="7" borderId="20" xfId="1" applyFont="1" applyFill="1" applyBorder="1" applyAlignment="1"/>
    <xf numFmtId="0" fontId="0" fillId="0" borderId="9" xfId="0" applyBorder="1" applyAlignment="1" applyProtection="1">
      <protection locked="0"/>
    </xf>
    <xf numFmtId="0" fontId="13" fillId="7" borderId="20" xfId="1" applyFont="1" applyFill="1" applyBorder="1" applyAlignment="1">
      <alignment horizontal="center" wrapText="1"/>
    </xf>
    <xf numFmtId="0" fontId="14" fillId="7" borderId="14" xfId="1" applyFont="1" applyFill="1" applyBorder="1" applyAlignment="1" applyProtection="1">
      <alignment wrapText="1"/>
      <protection locked="0"/>
    </xf>
    <xf numFmtId="0" fontId="14" fillId="7" borderId="20" xfId="1" applyFont="1" applyFill="1" applyBorder="1" applyAlignment="1" applyProtection="1">
      <alignment wrapText="1"/>
      <protection locked="0"/>
    </xf>
    <xf numFmtId="49" fontId="13" fillId="0" borderId="24" xfId="1" applyNumberFormat="1" applyFont="1" applyFill="1" applyBorder="1" applyAlignment="1"/>
    <xf numFmtId="0" fontId="14" fillId="0" borderId="0" xfId="1" applyFont="1" applyFill="1" applyAlignment="1"/>
    <xf numFmtId="49" fontId="13" fillId="0" borderId="26" xfId="1" applyNumberFormat="1" applyFont="1" applyFill="1" applyBorder="1" applyAlignment="1"/>
    <xf numFmtId="0" fontId="12" fillId="0" borderId="0" xfId="0" applyFont="1" applyAlignment="1"/>
    <xf numFmtId="0" fontId="14" fillId="0" borderId="0" xfId="0" applyFont="1" applyAlignment="1"/>
    <xf numFmtId="0" fontId="11" fillId="0" borderId="20" xfId="1" applyFont="1" applyBorder="1" applyAlignment="1"/>
    <xf numFmtId="0" fontId="11" fillId="0" borderId="20" xfId="1" applyFont="1" applyBorder="1" applyAlignment="1" applyProtection="1">
      <protection locked="0"/>
    </xf>
    <xf numFmtId="0" fontId="14" fillId="0" borderId="20" xfId="0" applyFont="1" applyBorder="1" applyAlignment="1" applyProtection="1">
      <protection locked="0"/>
    </xf>
    <xf numFmtId="0" fontId="14" fillId="0" borderId="20" xfId="0" applyFont="1" applyBorder="1" applyAlignment="1"/>
    <xf numFmtId="0" fontId="0" fillId="0" borderId="20" xfId="0" applyBorder="1" applyAlignment="1"/>
    <xf numFmtId="0" fontId="22" fillId="0" borderId="20" xfId="0" applyFont="1" applyBorder="1" applyAlignment="1"/>
    <xf numFmtId="0" fontId="13" fillId="0" borderId="20" xfId="1" applyFont="1" applyBorder="1" applyAlignment="1"/>
    <xf numFmtId="0" fontId="14" fillId="0" borderId="0" xfId="1" applyFont="1" applyFill="1" applyAlignment="1">
      <alignment wrapText="1"/>
    </xf>
    <xf numFmtId="0" fontId="12" fillId="0" borderId="20" xfId="0" applyFont="1" applyBorder="1" applyAlignment="1"/>
    <xf numFmtId="0" fontId="14" fillId="0" borderId="13" xfId="0" applyFont="1" applyFill="1" applyBorder="1" applyAlignment="1">
      <alignment wrapText="1"/>
    </xf>
    <xf numFmtId="49" fontId="14" fillId="0" borderId="20" xfId="1" applyNumberFormat="1" applyFont="1" applyBorder="1" applyAlignment="1">
      <alignment wrapText="1"/>
    </xf>
    <xf numFmtId="0" fontId="14" fillId="0" borderId="18" xfId="0" applyFont="1" applyFill="1" applyBorder="1" applyAlignment="1">
      <alignment horizontal="left" wrapText="1"/>
    </xf>
    <xf numFmtId="0" fontId="0" fillId="0" borderId="9" xfId="0" applyBorder="1" applyAlignment="1"/>
    <xf numFmtId="0" fontId="13" fillId="0" borderId="13" xfId="1" applyFont="1" applyBorder="1" applyAlignment="1"/>
    <xf numFmtId="0" fontId="13" fillId="0" borderId="20" xfId="1" applyFont="1" applyFill="1" applyBorder="1" applyAlignment="1"/>
    <xf numFmtId="0" fontId="13" fillId="0" borderId="13" xfId="1" applyFont="1" applyBorder="1" applyAlignment="1">
      <alignment horizontal="left"/>
    </xf>
    <xf numFmtId="49" fontId="13" fillId="0" borderId="13" xfId="1" applyNumberFormat="1" applyFont="1" applyBorder="1" applyAlignment="1"/>
    <xf numFmtId="49" fontId="14" fillId="0" borderId="14" xfId="1" applyNumberFormat="1" applyFont="1" applyBorder="1" applyAlignment="1">
      <alignment wrapText="1"/>
    </xf>
    <xf numFmtId="49" fontId="13" fillId="0" borderId="20" xfId="1" applyNumberFormat="1" applyFont="1" applyBorder="1" applyAlignment="1" applyProtection="1">
      <protection locked="0"/>
    </xf>
    <xf numFmtId="0" fontId="14" fillId="0" borderId="14" xfId="1" applyFont="1" applyBorder="1" applyAlignment="1" applyProtection="1">
      <alignment wrapText="1"/>
      <protection locked="0"/>
    </xf>
    <xf numFmtId="49" fontId="13" fillId="0" borderId="20" xfId="1" applyNumberFormat="1" applyFont="1" applyBorder="1" applyAlignment="1"/>
    <xf numFmtId="49" fontId="13" fillId="0" borderId="0" xfId="1" applyNumberFormat="1" applyFont="1" applyFill="1" applyBorder="1" applyAlignment="1" applyProtection="1">
      <protection locked="0"/>
    </xf>
    <xf numFmtId="0" fontId="14" fillId="0" borderId="9" xfId="1" applyFont="1" applyFill="1" applyBorder="1" applyAlignment="1"/>
    <xf numFmtId="0" fontId="14" fillId="0" borderId="14" xfId="1" applyFont="1" applyFill="1" applyBorder="1" applyAlignment="1">
      <alignment wrapText="1"/>
    </xf>
    <xf numFmtId="49" fontId="13" fillId="0" borderId="13" xfId="1" applyNumberFormat="1" applyFont="1" applyBorder="1" applyAlignment="1" applyProtection="1">
      <protection locked="0"/>
    </xf>
    <xf numFmtId="0" fontId="22" fillId="0" borderId="20" xfId="0" applyFont="1" applyBorder="1" applyAlignment="1" applyProtection="1">
      <protection locked="0"/>
    </xf>
    <xf numFmtId="0" fontId="14" fillId="0" borderId="13" xfId="1" applyFont="1" applyFill="1" applyBorder="1" applyAlignment="1" applyProtection="1">
      <protection locked="0"/>
    </xf>
    <xf numFmtId="0" fontId="22" fillId="0" borderId="0" xfId="0" applyFont="1" applyAlignment="1" applyProtection="1">
      <protection locked="0"/>
    </xf>
    <xf numFmtId="49" fontId="12" fillId="0" borderId="20" xfId="0" applyNumberFormat="1" applyFont="1" applyBorder="1" applyAlignment="1">
      <alignment wrapText="1"/>
    </xf>
    <xf numFmtId="0" fontId="14" fillId="0" borderId="36" xfId="1" applyFont="1" applyBorder="1" applyAlignment="1">
      <alignment wrapText="1"/>
    </xf>
    <xf numFmtId="0" fontId="11" fillId="0" borderId="20" xfId="1" applyFont="1" applyBorder="1" applyAlignment="1">
      <alignment wrapText="1"/>
    </xf>
    <xf numFmtId="0" fontId="19" fillId="0" borderId="20" xfId="0" applyFont="1" applyBorder="1" applyAlignment="1" applyProtection="1">
      <alignment wrapText="1"/>
      <protection locked="0"/>
    </xf>
    <xf numFmtId="0" fontId="23" fillId="0" borderId="20" xfId="0" applyFont="1" applyBorder="1" applyAlignment="1" applyProtection="1">
      <alignment wrapText="1"/>
      <protection locked="0"/>
    </xf>
    <xf numFmtId="0" fontId="23" fillId="0" borderId="20" xfId="0" applyFont="1" applyBorder="1" applyAlignment="1" applyProtection="1">
      <protection locked="0"/>
    </xf>
    <xf numFmtId="49" fontId="14" fillId="0" borderId="20" xfId="1" applyNumberFormat="1" applyFont="1" applyFill="1" applyBorder="1" applyAlignment="1" applyProtection="1">
      <protection locked="0"/>
    </xf>
    <xf numFmtId="0" fontId="13" fillId="0" borderId="14" xfId="1" applyFont="1" applyFill="1" applyBorder="1" applyAlignment="1">
      <alignment horizontal="center" wrapText="1"/>
    </xf>
    <xf numFmtId="0" fontId="11" fillId="7" borderId="20" xfId="1" applyFont="1" applyFill="1" applyBorder="1" applyAlignment="1">
      <alignment wrapText="1"/>
    </xf>
    <xf numFmtId="0" fontId="11" fillId="7" borderId="14" xfId="1" applyFont="1" applyFill="1" applyBorder="1" applyAlignment="1">
      <alignment wrapText="1"/>
    </xf>
    <xf numFmtId="0" fontId="14" fillId="7" borderId="12" xfId="1" applyFont="1" applyFill="1" applyBorder="1" applyAlignment="1"/>
    <xf numFmtId="49" fontId="13" fillId="0" borderId="14" xfId="1" applyNumberFormat="1" applyFont="1" applyFill="1" applyBorder="1" applyAlignment="1"/>
    <xf numFmtId="0" fontId="11" fillId="0" borderId="20" xfId="1" applyFont="1" applyFill="1" applyBorder="1" applyAlignment="1">
      <alignment wrapText="1"/>
    </xf>
    <xf numFmtId="0" fontId="11" fillId="0" borderId="14" xfId="1" applyFont="1" applyFill="1" applyBorder="1" applyAlignment="1">
      <alignment wrapText="1"/>
    </xf>
    <xf numFmtId="0" fontId="16" fillId="0" borderId="20" xfId="1" applyBorder="1" applyAlignment="1"/>
    <xf numFmtId="0" fontId="14" fillId="0" borderId="20" xfId="1" applyFont="1" applyFill="1" applyBorder="1" applyAlignment="1">
      <alignment horizontal="center" wrapText="1"/>
    </xf>
    <xf numFmtId="49" fontId="11" fillId="0" borderId="20" xfId="1" applyNumberFormat="1" applyFont="1" applyBorder="1" applyAlignment="1">
      <alignment wrapText="1"/>
    </xf>
    <xf numFmtId="0" fontId="14" fillId="7" borderId="20" xfId="0" applyFont="1" applyFill="1" applyBorder="1" applyAlignment="1"/>
    <xf numFmtId="0" fontId="13" fillId="0" borderId="9" xfId="1" applyFont="1" applyFill="1" applyBorder="1" applyAlignment="1">
      <alignment horizontal="center" wrapText="1"/>
    </xf>
    <xf numFmtId="0" fontId="11" fillId="0" borderId="20" xfId="0" applyFont="1" applyBorder="1" applyAlignment="1">
      <alignment wrapText="1"/>
    </xf>
    <xf numFmtId="0" fontId="11" fillId="0" borderId="9" xfId="1" applyFont="1" applyBorder="1" applyAlignment="1">
      <alignment wrapText="1"/>
    </xf>
    <xf numFmtId="0" fontId="11" fillId="7" borderId="20" xfId="0" applyFont="1" applyFill="1" applyBorder="1" applyAlignment="1">
      <alignment wrapText="1"/>
    </xf>
    <xf numFmtId="0" fontId="12" fillId="0" borderId="20" xfId="1" applyFont="1" applyFill="1" applyBorder="1" applyAlignment="1"/>
    <xf numFmtId="0" fontId="12" fillId="0" borderId="18" xfId="1" applyFont="1" applyFill="1" applyBorder="1" applyAlignment="1">
      <alignment wrapText="1"/>
    </xf>
    <xf numFmtId="0" fontId="12" fillId="0" borderId="18" xfId="0" applyFont="1" applyBorder="1" applyAlignment="1">
      <alignment wrapText="1"/>
    </xf>
    <xf numFmtId="0" fontId="11" fillId="0" borderId="14" xfId="1" applyFont="1" applyBorder="1" applyAlignment="1">
      <alignment wrapText="1"/>
    </xf>
    <xf numFmtId="0" fontId="21" fillId="0" borderId="20" xfId="0" applyFont="1" applyBorder="1" applyAlignment="1">
      <alignment horizontal="left" wrapText="1"/>
    </xf>
    <xf numFmtId="0" fontId="21" fillId="0" borderId="20" xfId="0" applyFont="1" applyBorder="1" applyAlignment="1">
      <alignment horizontal="center" wrapText="1"/>
    </xf>
    <xf numFmtId="49" fontId="14" fillId="0" borderId="35" xfId="1" applyNumberFormat="1" applyFont="1" applyFill="1" applyBorder="1" applyAlignment="1"/>
    <xf numFmtId="0" fontId="0" fillId="0" borderId="0" xfId="0" applyAlignment="1"/>
    <xf numFmtId="0" fontId="14" fillId="0" borderId="24" xfId="1" applyFont="1" applyFill="1" applyBorder="1" applyAlignment="1"/>
    <xf numFmtId="0" fontId="16" fillId="0" borderId="0" xfId="1" applyAlignment="1"/>
    <xf numFmtId="0" fontId="13" fillId="0" borderId="14" xfId="1" applyFont="1" applyFill="1" applyBorder="1" applyAlignment="1">
      <alignment wrapText="1"/>
    </xf>
    <xf numFmtId="0" fontId="18" fillId="0" borderId="9" xfId="0" applyFont="1" applyBorder="1" applyAlignment="1">
      <alignment horizontal="center" wrapText="1"/>
    </xf>
    <xf numFmtId="0" fontId="14" fillId="0" borderId="13" xfId="1" applyFont="1" applyBorder="1" applyAlignment="1">
      <alignment wrapText="1"/>
    </xf>
    <xf numFmtId="0" fontId="15" fillId="0" borderId="20" xfId="0" applyFont="1" applyBorder="1" applyAlignment="1">
      <alignment wrapText="1"/>
    </xf>
    <xf numFmtId="0" fontId="14" fillId="0" borderId="14" xfId="0" applyFont="1" applyBorder="1" applyAlignment="1">
      <alignment wrapText="1"/>
    </xf>
    <xf numFmtId="0" fontId="13" fillId="0" borderId="20" xfId="1" applyFont="1" applyFill="1" applyBorder="1" applyAlignment="1">
      <alignment wrapText="1"/>
    </xf>
    <xf numFmtId="49" fontId="13" fillId="0" borderId="8" xfId="1" applyNumberFormat="1" applyFont="1" applyFill="1" applyBorder="1" applyAlignment="1"/>
    <xf numFmtId="0" fontId="12" fillId="0" borderId="9" xfId="0" applyFont="1" applyBorder="1" applyAlignment="1">
      <alignment wrapText="1"/>
    </xf>
    <xf numFmtId="0" fontId="19" fillId="0" borderId="20" xfId="0" applyFont="1" applyBorder="1" applyAlignment="1">
      <alignment wrapText="1"/>
    </xf>
    <xf numFmtId="0" fontId="23" fillId="0" borderId="20" xfId="0" applyFont="1" applyBorder="1" applyAlignment="1">
      <alignment wrapText="1"/>
    </xf>
    <xf numFmtId="49" fontId="12" fillId="0" borderId="20" xfId="0" applyNumberFormat="1" applyFont="1" applyBorder="1" applyAlignment="1"/>
    <xf numFmtId="16" fontId="19" fillId="0" borderId="20" xfId="0" applyNumberFormat="1" applyFont="1" applyBorder="1" applyAlignment="1">
      <alignment wrapText="1"/>
    </xf>
    <xf numFmtId="0" fontId="18" fillId="0" borderId="20" xfId="0" applyFont="1" applyBorder="1" applyAlignment="1">
      <alignment horizontal="center" wrapText="1"/>
    </xf>
    <xf numFmtId="0" fontId="12" fillId="0" borderId="12" xfId="0" applyFont="1" applyBorder="1" applyAlignment="1">
      <alignment wrapText="1"/>
    </xf>
    <xf numFmtId="0" fontId="18" fillId="0" borderId="0" xfId="0" applyFont="1" applyAlignment="1">
      <alignment horizontal="center" wrapText="1"/>
    </xf>
    <xf numFmtId="0" fontId="22" fillId="0" borderId="0" xfId="0" applyFont="1" applyAlignment="1"/>
    <xf numFmtId="0" fontId="14" fillId="0" borderId="20" xfId="1" applyFont="1" applyBorder="1" applyAlignment="1"/>
    <xf numFmtId="0" fontId="12" fillId="0" borderId="13" xfId="0" applyFont="1" applyBorder="1" applyAlignment="1">
      <alignment wrapText="1"/>
    </xf>
    <xf numFmtId="49" fontId="14" fillId="7" borderId="20" xfId="1" applyNumberFormat="1" applyFont="1" applyFill="1" applyBorder="1" applyAlignment="1">
      <alignment wrapText="1"/>
    </xf>
    <xf numFmtId="49" fontId="13" fillId="0" borderId="20" xfId="1" applyNumberFormat="1" applyFont="1" applyBorder="1" applyAlignment="1">
      <alignment wrapText="1"/>
    </xf>
    <xf numFmtId="0" fontId="13" fillId="0" borderId="12" xfId="1" applyFont="1" applyFill="1" applyBorder="1" applyAlignment="1">
      <alignment horizontal="center" wrapText="1"/>
    </xf>
    <xf numFmtId="0" fontId="14" fillId="0" borderId="20" xfId="1" applyFont="1" applyFill="1" applyBorder="1" applyAlignment="1">
      <alignment wrapText="1" shrinkToFit="1"/>
    </xf>
    <xf numFmtId="0" fontId="23" fillId="0" borderId="0" xfId="0" applyFont="1" applyAlignment="1">
      <alignment wrapText="1"/>
    </xf>
    <xf numFmtId="0" fontId="14" fillId="0" borderId="18" xfId="1" applyFont="1" applyFill="1" applyBorder="1" applyAlignment="1">
      <alignment horizontal="right" wrapText="1"/>
    </xf>
    <xf numFmtId="49" fontId="18" fillId="0" borderId="20" xfId="0" applyNumberFormat="1" applyFont="1" applyBorder="1" applyAlignment="1">
      <alignment wrapText="1"/>
    </xf>
    <xf numFmtId="0" fontId="18" fillId="0" borderId="20" xfId="0" applyFont="1" applyBorder="1" applyAlignment="1">
      <alignment wrapText="1"/>
    </xf>
    <xf numFmtId="0" fontId="0" fillId="0" borderId="13" xfId="0" applyBorder="1" applyAlignment="1"/>
    <xf numFmtId="0" fontId="18" fillId="0" borderId="14" xfId="0" applyFont="1" applyBorder="1" applyAlignment="1">
      <alignment horizontal="center" wrapText="1"/>
    </xf>
    <xf numFmtId="0" fontId="23" fillId="0" borderId="0" xfId="0" applyFont="1" applyAlignment="1"/>
    <xf numFmtId="0" fontId="20" fillId="0" borderId="0" xfId="1" applyFont="1" applyFill="1" applyAlignment="1"/>
    <xf numFmtId="0" fontId="12" fillId="0" borderId="14" xfId="0" applyFont="1" applyBorder="1"/>
    <xf numFmtId="49" fontId="13" fillId="0" borderId="20" xfId="1" applyNumberFormat="1" applyFont="1" applyFill="1" applyBorder="1" applyAlignment="1">
      <alignment wrapText="1"/>
    </xf>
    <xf numFmtId="0" fontId="14" fillId="0" borderId="9" xfId="1" applyFont="1" applyFill="1" applyBorder="1" applyAlignment="1">
      <alignment wrapText="1"/>
    </xf>
    <xf numFmtId="49" fontId="14" fillId="0" borderId="12" xfId="1" applyNumberFormat="1" applyFont="1" applyFill="1" applyBorder="1" applyAlignment="1"/>
    <xf numFmtId="49" fontId="14" fillId="0" borderId="14" xfId="1" applyNumberFormat="1" applyFont="1" applyFill="1" applyBorder="1" applyAlignment="1"/>
    <xf numFmtId="0" fontId="14" fillId="0" borderId="12" xfId="1" applyFont="1" applyFill="1" applyBorder="1" applyAlignment="1"/>
    <xf numFmtId="0" fontId="12" fillId="7" borderId="20" xfId="0" applyFont="1" applyFill="1" applyBorder="1" applyAlignment="1">
      <alignment horizontal="justify" vertical="center" wrapText="1"/>
    </xf>
    <xf numFmtId="0" fontId="13" fillId="7" borderId="20" xfId="1" applyFont="1" applyFill="1" applyBorder="1" applyAlignment="1"/>
    <xf numFmtId="0" fontId="14" fillId="7" borderId="20" xfId="1" applyFont="1" applyFill="1" applyBorder="1" applyAlignment="1">
      <alignment horizontal="right" wrapText="1"/>
    </xf>
    <xf numFmtId="0" fontId="13" fillId="0" borderId="9" xfId="1" applyFont="1" applyFill="1" applyBorder="1" applyAlignment="1"/>
    <xf numFmtId="0" fontId="8" fillId="0" borderId="20" xfId="1" applyFont="1" applyBorder="1" applyAlignment="1">
      <alignment wrapText="1"/>
    </xf>
    <xf numFmtId="0" fontId="12" fillId="0" borderId="20" xfId="1" applyFont="1" applyFill="1" applyBorder="1" applyAlignment="1">
      <alignment wrapText="1"/>
    </xf>
    <xf numFmtId="0" fontId="8" fillId="0" borderId="20" xfId="1" applyFont="1" applyFill="1" applyBorder="1" applyAlignment="1">
      <alignment wrapText="1"/>
    </xf>
    <xf numFmtId="0" fontId="24" fillId="8" borderId="39" xfId="2" applyFont="1" applyFill="1" applyBorder="1" applyAlignment="1">
      <alignment vertical="center" wrapText="1"/>
    </xf>
    <xf numFmtId="0" fontId="24" fillId="8" borderId="40" xfId="2" applyFont="1" applyFill="1" applyBorder="1" applyAlignment="1">
      <alignment vertical="center" wrapText="1"/>
    </xf>
    <xf numFmtId="0" fontId="24" fillId="8" borderId="0" xfId="2" applyFont="1" applyFill="1" applyBorder="1" applyAlignment="1">
      <alignment vertical="center" wrapText="1"/>
    </xf>
    <xf numFmtId="0" fontId="24" fillId="8" borderId="41" xfId="2" applyFont="1" applyFill="1" applyBorder="1" applyAlignment="1">
      <alignment vertical="center" wrapText="1"/>
    </xf>
    <xf numFmtId="0" fontId="24" fillId="8" borderId="42" xfId="2" applyFont="1" applyFill="1" applyBorder="1" applyAlignment="1">
      <alignment vertical="center" wrapText="1"/>
    </xf>
    <xf numFmtId="0" fontId="24" fillId="8" borderId="43" xfId="2" applyFont="1" applyFill="1" applyBorder="1" applyAlignment="1">
      <alignment vertical="center" wrapText="1"/>
    </xf>
    <xf numFmtId="0" fontId="24" fillId="8" borderId="44" xfId="2" applyFont="1" applyFill="1" applyBorder="1" applyAlignment="1">
      <alignment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12" fillId="7" borderId="18" xfId="0" applyFont="1" applyFill="1" applyBorder="1" applyAlignment="1"/>
    <xf numFmtId="0" fontId="12" fillId="0" borderId="31" xfId="1" applyFont="1" applyFill="1" applyBorder="1" applyAlignment="1">
      <alignment wrapText="1"/>
    </xf>
    <xf numFmtId="0" fontId="12" fillId="7" borderId="0" xfId="0" applyFont="1" applyFill="1" applyAlignment="1">
      <alignment wrapText="1"/>
    </xf>
    <xf numFmtId="1" fontId="18" fillId="0" borderId="20" xfId="0" applyNumberFormat="1" applyFont="1" applyBorder="1" applyAlignment="1">
      <alignment horizontal="center"/>
    </xf>
    <xf numFmtId="1" fontId="18" fillId="0" borderId="0" xfId="0" applyNumberFormat="1" applyFont="1" applyAlignment="1">
      <alignment horizontal="center"/>
    </xf>
    <xf numFmtId="49" fontId="8" fillId="0" borderId="0" xfId="0" applyNumberFormat="1" applyFont="1" applyAlignment="1" applyProtection="1">
      <alignment horizontal="center"/>
    </xf>
    <xf numFmtId="0" fontId="8" fillId="5" borderId="8" xfId="0" applyFont="1" applyFill="1" applyBorder="1"/>
    <xf numFmtId="49" fontId="12" fillId="0" borderId="19" xfId="0" applyNumberFormat="1" applyFont="1" applyBorder="1" applyAlignment="1" applyProtection="1">
      <alignment horizontal="justify" vertical="center" wrapText="1"/>
      <protection locked="0"/>
    </xf>
    <xf numFmtId="0" fontId="14" fillId="0" borderId="18" xfId="1" applyNumberFormat="1" applyFont="1" applyBorder="1" applyAlignment="1"/>
    <xf numFmtId="0" fontId="15" fillId="0" borderId="18" xfId="1" applyNumberFormat="1" applyFont="1" applyBorder="1" applyAlignment="1"/>
    <xf numFmtId="0" fontId="14" fillId="0" borderId="18" xfId="1" applyFont="1" applyFill="1" applyBorder="1" applyAlignment="1" applyProtection="1">
      <protection locked="0"/>
    </xf>
    <xf numFmtId="0" fontId="14" fillId="0" borderId="32" xfId="1" applyFont="1" applyFill="1" applyBorder="1" applyAlignment="1"/>
    <xf numFmtId="0" fontId="14" fillId="0" borderId="18" xfId="0" applyFont="1" applyFill="1" applyBorder="1" applyAlignment="1" applyProtection="1">
      <protection locked="0"/>
    </xf>
    <xf numFmtId="0" fontId="14" fillId="0" borderId="32" xfId="0" applyFont="1" applyFill="1" applyBorder="1" applyAlignment="1" applyProtection="1">
      <protection locked="0"/>
    </xf>
    <xf numFmtId="0" fontId="14" fillId="0" borderId="31" xfId="1" applyFont="1" applyFill="1" applyBorder="1" applyAlignment="1"/>
    <xf numFmtId="0" fontId="14" fillId="0" borderId="0" xfId="0" applyFont="1" applyFill="1" applyAlignment="1"/>
    <xf numFmtId="0" fontId="14" fillId="0" borderId="32" xfId="0" applyFont="1" applyFill="1" applyBorder="1" applyAlignment="1"/>
    <xf numFmtId="0" fontId="11" fillId="0" borderId="20" xfId="0" applyFont="1" applyFill="1" applyBorder="1" applyAlignment="1"/>
    <xf numFmtId="0" fontId="14" fillId="0" borderId="14" xfId="1" applyFont="1" applyFill="1" applyBorder="1" applyAlignment="1" applyProtection="1">
      <protection locked="0"/>
    </xf>
    <xf numFmtId="0" fontId="14" fillId="7" borderId="14" xfId="0" applyFont="1" applyFill="1" applyBorder="1" applyAlignment="1">
      <alignment wrapText="1"/>
    </xf>
    <xf numFmtId="0" fontId="14" fillId="7" borderId="0" xfId="0" applyFont="1" applyFill="1" applyAlignment="1"/>
    <xf numFmtId="0" fontId="13" fillId="0" borderId="18" xfId="1" applyFont="1" applyFill="1" applyBorder="1" applyAlignment="1">
      <alignment wrapText="1"/>
    </xf>
    <xf numFmtId="0" fontId="13" fillId="0" borderId="35" xfId="1" applyFont="1" applyFill="1" applyBorder="1" applyAlignment="1"/>
    <xf numFmtId="0" fontId="13" fillId="7" borderId="13" xfId="1" applyFont="1" applyFill="1" applyBorder="1" applyAlignment="1"/>
    <xf numFmtId="49" fontId="15" fillId="0" borderId="18" xfId="1" applyNumberFormat="1" applyFont="1" applyBorder="1" applyAlignment="1"/>
    <xf numFmtId="0" fontId="14" fillId="0" borderId="20" xfId="1" applyFont="1" applyFill="1" applyBorder="1" applyAlignment="1">
      <alignment horizontal="left" wrapText="1"/>
    </xf>
    <xf numFmtId="0" fontId="14" fillId="0" borderId="32" xfId="1" applyFont="1" applyFill="1" applyBorder="1" applyAlignment="1">
      <alignment horizontal="right" vertical="top" wrapText="1"/>
    </xf>
    <xf numFmtId="49" fontId="13" fillId="0" borderId="15" xfId="1" applyNumberFormat="1" applyFont="1" applyFill="1" applyBorder="1" applyAlignment="1"/>
    <xf numFmtId="0" fontId="8" fillId="0" borderId="0" xfId="0" applyFont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12" fillId="0" borderId="19" xfId="0" applyFont="1" applyBorder="1"/>
    <xf numFmtId="0" fontId="12" fillId="0" borderId="18" xfId="0" applyFont="1" applyBorder="1"/>
    <xf numFmtId="0" fontId="14" fillId="0" borderId="45" xfId="1" applyFont="1" applyFill="1" applyBorder="1" applyAlignment="1">
      <alignment horizontal="right" vertical="top" wrapText="1"/>
    </xf>
    <xf numFmtId="49" fontId="12" fillId="0" borderId="9" xfId="0" applyNumberFormat="1" applyFont="1" applyBorder="1" applyAlignment="1">
      <alignment wrapText="1"/>
    </xf>
    <xf numFmtId="0" fontId="0" fillId="2" borderId="20" xfId="0" applyFill="1" applyBorder="1"/>
    <xf numFmtId="49" fontId="0" fillId="0" borderId="20" xfId="0" applyNumberFormat="1" applyBorder="1" applyAlignment="1" applyProtection="1">
      <alignment horizontal="left"/>
      <protection locked="0"/>
    </xf>
    <xf numFmtId="0" fontId="24" fillId="8" borderId="0" xfId="2" applyFont="1" applyFill="1" applyBorder="1" applyAlignment="1">
      <alignment horizontal="left" wrapText="1"/>
    </xf>
    <xf numFmtId="0" fontId="24" fillId="8" borderId="41" xfId="2" applyFont="1" applyFill="1" applyBorder="1" applyAlignment="1">
      <alignment horizontal="left" wrapText="1"/>
    </xf>
    <xf numFmtId="0" fontId="4" fillId="3" borderId="4" xfId="0" applyFont="1" applyFill="1" applyBorder="1" applyAlignment="1">
      <alignment vertical="center" wrapText="1"/>
    </xf>
    <xf numFmtId="0" fontId="4" fillId="3" borderId="6" xfId="0" applyFont="1" applyFill="1" applyBorder="1" applyAlignment="1">
      <alignment vertical="center" wrapText="1"/>
    </xf>
    <xf numFmtId="0" fontId="6" fillId="0" borderId="0" xfId="0" applyFont="1" applyAlignment="1">
      <alignment horizontal="left"/>
    </xf>
    <xf numFmtId="0" fontId="24" fillId="8" borderId="37" xfId="2" applyFont="1" applyFill="1" applyBorder="1" applyAlignment="1">
      <alignment horizontal="center" vertical="center" wrapText="1"/>
    </xf>
    <xf numFmtId="0" fontId="24" fillId="8" borderId="38" xfId="2" applyFont="1" applyFill="1" applyBorder="1" applyAlignment="1">
      <alignment horizontal="center" vertical="center" wrapText="1"/>
    </xf>
    <xf numFmtId="0" fontId="24" fillId="8" borderId="40" xfId="2" applyFont="1" applyFill="1" applyBorder="1" applyAlignment="1">
      <alignment horizontal="center" vertical="center" wrapText="1"/>
    </xf>
    <xf numFmtId="0" fontId="24" fillId="8" borderId="0" xfId="2" applyFont="1" applyFill="1" applyBorder="1" applyAlignment="1">
      <alignment horizontal="center" vertical="center" wrapText="1"/>
    </xf>
    <xf numFmtId="0" fontId="24" fillId="8" borderId="41" xfId="2" applyFont="1" applyFill="1" applyBorder="1" applyAlignment="1">
      <alignment horizontal="center" vertical="center" wrapText="1"/>
    </xf>
    <xf numFmtId="0" fontId="24" fillId="8" borderId="40" xfId="2" applyFont="1" applyFill="1" applyBorder="1" applyAlignment="1">
      <alignment horizontal="left" wrapText="1"/>
    </xf>
    <xf numFmtId="0" fontId="8" fillId="0" borderId="9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16" xfId="0" applyFont="1" applyFill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</cellXfs>
  <cellStyles count="3">
    <cellStyle name="Обычный" xfId="0" builtinId="0"/>
    <cellStyle name="Обычный 2" xfId="1"/>
    <cellStyle name="Обычный 20" xfId="2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4"/>
  <sheetViews>
    <sheetView workbookViewId="0"/>
  </sheetViews>
  <sheetFormatPr defaultRowHeight="15"/>
  <cols>
    <col min="1" max="5" width="31.7109375" customWidth="1"/>
  </cols>
  <sheetData>
    <row r="1" spans="1:15">
      <c r="A1" s="1" t="s">
        <v>10</v>
      </c>
      <c r="B1" s="2" t="s">
        <v>2230</v>
      </c>
      <c r="D1" s="1" t="s">
        <v>14</v>
      </c>
      <c r="E1" s="2" t="s">
        <v>16</v>
      </c>
    </row>
    <row r="2" spans="1:15">
      <c r="A2" s="1" t="s">
        <v>11</v>
      </c>
      <c r="B2" s="3">
        <v>53</v>
      </c>
      <c r="D2" s="1" t="s">
        <v>15</v>
      </c>
      <c r="E2" s="2">
        <v>2</v>
      </c>
      <c r="H2" t="s">
        <v>258</v>
      </c>
      <c r="I2" t="s">
        <v>259</v>
      </c>
      <c r="J2" t="s">
        <v>260</v>
      </c>
      <c r="K2" t="s">
        <v>261</v>
      </c>
      <c r="L2" t="s">
        <v>262</v>
      </c>
      <c r="M2" t="s">
        <v>263</v>
      </c>
      <c r="N2" t="s">
        <v>264</v>
      </c>
      <c r="O2" t="s">
        <v>265</v>
      </c>
    </row>
    <row r="3" spans="1:15">
      <c r="A3" s="1" t="s">
        <v>12</v>
      </c>
      <c r="B3" s="4">
        <v>44713</v>
      </c>
      <c r="D3" s="325" t="s">
        <v>2229</v>
      </c>
      <c r="E3" s="326">
        <v>0</v>
      </c>
    </row>
    <row r="4" spans="1:15">
      <c r="A4" s="1" t="s">
        <v>13</v>
      </c>
      <c r="B4" s="4">
        <v>44742</v>
      </c>
    </row>
  </sheetData>
  <sheetProtection sheet="1" objects="1" scenarios="1"/>
  <dataValidations count="1">
    <dataValidation allowBlank="1" showInputMessage="1" showErrorMessage="1" promptTitle="Выполнять макрос" prompt="1 - Выполнять_x000d__x000a_0 - Не выполнять" sqref="E1"/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"/>
  <sheetViews>
    <sheetView workbookViewId="0">
      <selection activeCell="H34" sqref="H34"/>
    </sheetView>
  </sheetViews>
  <sheetFormatPr defaultRowHeight="15"/>
  <cols>
    <col min="1" max="2" width="31.7109375" customWidth="1"/>
  </cols>
  <sheetData>
    <row r="1" spans="1:2">
      <c r="A1" s="1" t="s">
        <v>0</v>
      </c>
      <c r="B1" s="2" t="s">
        <v>2234</v>
      </c>
    </row>
    <row r="2" spans="1:2">
      <c r="A2" s="1" t="s">
        <v>1</v>
      </c>
      <c r="B2" s="2" t="s">
        <v>2236</v>
      </c>
    </row>
    <row r="3" spans="1:2">
      <c r="A3" s="1" t="s">
        <v>2</v>
      </c>
      <c r="B3" s="2" t="s">
        <v>2237</v>
      </c>
    </row>
    <row r="4" spans="1:2">
      <c r="A4" s="1" t="s">
        <v>3</v>
      </c>
      <c r="B4" s="2" t="s">
        <v>2231</v>
      </c>
    </row>
    <row r="5" spans="1:2">
      <c r="A5" s="1" t="s">
        <v>4</v>
      </c>
      <c r="B5" s="2" t="s">
        <v>2235</v>
      </c>
    </row>
    <row r="6" spans="1:2">
      <c r="A6" s="1" t="s">
        <v>5</v>
      </c>
      <c r="B6" s="2" t="s">
        <v>2232</v>
      </c>
    </row>
    <row r="7" spans="1:2">
      <c r="A7" s="1" t="s">
        <v>6</v>
      </c>
      <c r="B7" s="2"/>
    </row>
    <row r="8" spans="1:2">
      <c r="A8" s="1" t="s">
        <v>7</v>
      </c>
      <c r="B8" s="2" t="s">
        <v>2232</v>
      </c>
    </row>
    <row r="9" spans="1:2">
      <c r="A9" s="1" t="s">
        <v>8</v>
      </c>
      <c r="B9" s="2" t="s">
        <v>2233</v>
      </c>
    </row>
    <row r="10" spans="1:2">
      <c r="A10" s="1" t="s">
        <v>9</v>
      </c>
      <c r="B10" s="2" t="s">
        <v>34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H9" sqref="H9"/>
    </sheetView>
  </sheetViews>
  <sheetFormatPr defaultRowHeight="15"/>
  <cols>
    <col min="1" max="1" width="37.7109375" customWidth="1"/>
    <col min="2" max="2" width="34.28515625" customWidth="1"/>
    <col min="3" max="3" width="22.42578125" customWidth="1"/>
    <col min="4" max="4" width="18.7109375" customWidth="1"/>
  </cols>
  <sheetData>
    <row r="1" spans="1:6" ht="16.5" thickBot="1">
      <c r="A1" s="5" t="s">
        <v>17</v>
      </c>
      <c r="B1" s="289" t="s">
        <v>18</v>
      </c>
    </row>
    <row r="2" spans="1:6" ht="47.25">
      <c r="A2" s="329" t="s">
        <v>19</v>
      </c>
      <c r="B2" s="290" t="s">
        <v>24</v>
      </c>
    </row>
    <row r="3" spans="1:6" ht="16.5" thickBot="1">
      <c r="A3" s="330"/>
      <c r="B3" s="6" t="s">
        <v>341</v>
      </c>
    </row>
    <row r="4" spans="1:6" ht="63" customHeight="1" thickBot="1">
      <c r="A4" s="7" t="s">
        <v>20</v>
      </c>
      <c r="B4" s="288" t="s">
        <v>25</v>
      </c>
      <c r="C4" s="8">
        <v>1</v>
      </c>
    </row>
    <row r="5" spans="1:6" ht="16.5" thickBot="1">
      <c r="A5" s="7" t="s">
        <v>21</v>
      </c>
      <c r="B5" s="9">
        <v>123456</v>
      </c>
      <c r="C5" s="10" t="s">
        <v>22</v>
      </c>
    </row>
    <row r="7" spans="1:6">
      <c r="A7" s="331" t="s">
        <v>23</v>
      </c>
      <c r="B7" s="331"/>
      <c r="C7" s="11"/>
      <c r="D7" s="11"/>
      <c r="E7" s="11"/>
      <c r="F7" s="11"/>
    </row>
    <row r="10" spans="1:6" ht="15.75" thickBot="1"/>
    <row r="11" spans="1:6" ht="18.75">
      <c r="A11" s="332" t="s">
        <v>2141</v>
      </c>
      <c r="B11" s="333"/>
      <c r="C11" s="333"/>
      <c r="D11" s="281"/>
    </row>
    <row r="12" spans="1:6" ht="18.75">
      <c r="A12" s="282"/>
      <c r="B12" s="283"/>
      <c r="C12" s="283"/>
      <c r="D12" s="284"/>
    </row>
    <row r="13" spans="1:6" ht="18.75">
      <c r="A13" s="334" t="s">
        <v>2142</v>
      </c>
      <c r="B13" s="335"/>
      <c r="C13" s="335"/>
      <c r="D13" s="336"/>
    </row>
    <row r="14" spans="1:6" ht="18.75">
      <c r="A14" s="282"/>
      <c r="B14" s="283"/>
      <c r="C14" s="283"/>
      <c r="D14" s="284"/>
    </row>
    <row r="15" spans="1:6" ht="34.5" customHeight="1">
      <c r="A15" s="337" t="s">
        <v>2143</v>
      </c>
      <c r="B15" s="327"/>
      <c r="C15" s="327"/>
      <c r="D15" s="328"/>
    </row>
    <row r="16" spans="1:6" ht="36" customHeight="1">
      <c r="A16" s="327" t="s">
        <v>2144</v>
      </c>
      <c r="B16" s="327"/>
      <c r="C16" s="327"/>
      <c r="D16" s="328"/>
    </row>
    <row r="17" spans="1:4" ht="35.25" customHeight="1">
      <c r="A17" s="327" t="s">
        <v>2145</v>
      </c>
      <c r="B17" s="327"/>
      <c r="C17" s="327"/>
      <c r="D17" s="328"/>
    </row>
    <row r="18" spans="1:4" ht="19.5" thickBot="1">
      <c r="A18" s="285"/>
      <c r="B18" s="286"/>
      <c r="C18" s="286"/>
      <c r="D18" s="287"/>
    </row>
  </sheetData>
  <sheetProtection sheet="1" objects="1" scenarios="1"/>
  <mergeCells count="7">
    <mergeCell ref="A16:D16"/>
    <mergeCell ref="A17:D17"/>
    <mergeCell ref="A2:A3"/>
    <mergeCell ref="A7:B7"/>
    <mergeCell ref="A11:C11"/>
    <mergeCell ref="A13:D13"/>
    <mergeCell ref="A15:D15"/>
  </mergeCells>
  <conditionalFormatting sqref="B5">
    <cfRule type="containsBlanks" dxfId="0" priority="1">
      <formula>LEN(TRIM(B5))=0</formula>
    </cfRule>
  </conditionalFormatting>
  <dataValidations count="1">
    <dataValidation type="textLength" showInputMessage="1" showErrorMessage="1" error="Введите Код ОКПО!" sqref="B5">
      <formula1>1</formula1>
      <formula2>8</formula2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5"/>
  <sheetViews>
    <sheetView tabSelected="1" zoomScale="130" zoomScaleNormal="130" workbookViewId="0">
      <selection activeCell="A24" sqref="A24:K24"/>
    </sheetView>
  </sheetViews>
  <sheetFormatPr defaultRowHeight="15"/>
  <cols>
    <col min="1" max="1" width="61.85546875" customWidth="1"/>
    <col min="2" max="2" width="9.7109375" customWidth="1"/>
    <col min="3" max="11" width="12.7109375" customWidth="1"/>
    <col min="12" max="12" width="13.140625" customWidth="1"/>
  </cols>
  <sheetData>
    <row r="1" spans="1:13" ht="26.25" customHeight="1">
      <c r="A1" s="345" t="s">
        <v>26</v>
      </c>
      <c r="B1" s="345"/>
      <c r="C1" s="345"/>
      <c r="D1" s="345"/>
      <c r="E1" s="345"/>
    </row>
    <row r="2" spans="1:13">
      <c r="A2" s="338" t="s">
        <v>27</v>
      </c>
      <c r="B2" s="346" t="s">
        <v>28</v>
      </c>
      <c r="C2" s="340" t="s">
        <v>47</v>
      </c>
      <c r="D2" s="341"/>
      <c r="E2" s="341"/>
      <c r="F2" s="18"/>
      <c r="G2" s="19"/>
    </row>
    <row r="3" spans="1:13" ht="51" customHeight="1">
      <c r="A3" s="339"/>
      <c r="B3" s="347"/>
      <c r="C3" s="55" t="s">
        <v>29</v>
      </c>
      <c r="D3" s="55" t="s">
        <v>30</v>
      </c>
      <c r="E3" s="56" t="s">
        <v>279</v>
      </c>
      <c r="F3" s="18"/>
      <c r="G3" s="19"/>
    </row>
    <row r="4" spans="1:13">
      <c r="A4" s="12" t="s">
        <v>31</v>
      </c>
      <c r="B4" s="12" t="s">
        <v>32</v>
      </c>
      <c r="C4" s="13">
        <v>1</v>
      </c>
      <c r="D4" s="13">
        <v>2</v>
      </c>
      <c r="E4" s="14">
        <v>3</v>
      </c>
      <c r="F4" s="18"/>
      <c r="G4" s="19"/>
    </row>
    <row r="5" spans="1:13" ht="25.5" customHeight="1">
      <c r="A5" s="15" t="s">
        <v>40</v>
      </c>
      <c r="B5" s="16" t="s">
        <v>33</v>
      </c>
      <c r="C5" s="54">
        <v>10</v>
      </c>
      <c r="D5" s="54">
        <v>10</v>
      </c>
      <c r="E5" s="54">
        <v>246.8</v>
      </c>
    </row>
    <row r="6" spans="1:13" ht="23.25" customHeight="1">
      <c r="A6" s="15" t="s">
        <v>41</v>
      </c>
      <c r="B6" s="16" t="s">
        <v>34</v>
      </c>
      <c r="C6" s="54">
        <v>10</v>
      </c>
      <c r="D6" s="54">
        <v>10</v>
      </c>
      <c r="E6" s="54">
        <v>75.099999999999994</v>
      </c>
    </row>
    <row r="7" spans="1:13" ht="26.25" customHeight="1">
      <c r="A7" s="15" t="s">
        <v>42</v>
      </c>
      <c r="B7" s="16" t="s">
        <v>36</v>
      </c>
      <c r="C7" s="54">
        <v>10</v>
      </c>
      <c r="D7" s="54">
        <v>10</v>
      </c>
      <c r="E7" s="54">
        <v>190.3</v>
      </c>
    </row>
    <row r="8" spans="1:13" ht="19.5" customHeight="1">
      <c r="A8" s="17" t="s">
        <v>37</v>
      </c>
      <c r="B8" s="16" t="s">
        <v>38</v>
      </c>
      <c r="C8" s="54">
        <v>1</v>
      </c>
      <c r="D8" s="54">
        <v>10</v>
      </c>
      <c r="E8" s="54">
        <v>42.6</v>
      </c>
    </row>
    <row r="9" spans="1:13" ht="35.25" customHeight="1">
      <c r="A9" s="15" t="s">
        <v>2168</v>
      </c>
      <c r="B9" s="16" t="s">
        <v>39</v>
      </c>
      <c r="C9" s="54">
        <v>10</v>
      </c>
      <c r="D9" s="63" t="s">
        <v>299</v>
      </c>
      <c r="E9" s="54">
        <v>94.7</v>
      </c>
    </row>
    <row r="11" spans="1:13">
      <c r="A11" s="348" t="s">
        <v>43</v>
      </c>
      <c r="B11" s="348"/>
      <c r="C11" s="348"/>
      <c r="D11" s="348"/>
      <c r="E11" s="348"/>
      <c r="F11" s="348"/>
      <c r="G11" s="348"/>
      <c r="H11" s="348"/>
      <c r="I11" s="348"/>
      <c r="J11" s="348"/>
      <c r="K11" s="348"/>
    </row>
    <row r="12" spans="1:13">
      <c r="A12" s="344"/>
      <c r="B12" s="344"/>
      <c r="C12" s="344"/>
      <c r="D12" s="344"/>
      <c r="E12" s="344"/>
      <c r="F12" s="344"/>
      <c r="G12" s="344"/>
      <c r="H12" s="344"/>
      <c r="I12" s="344"/>
      <c r="J12" s="344"/>
      <c r="K12" s="344"/>
    </row>
    <row r="13" spans="1:13" ht="51" customHeight="1">
      <c r="A13" s="338"/>
      <c r="B13" s="338" t="s">
        <v>44</v>
      </c>
      <c r="C13" s="340" t="s">
        <v>280</v>
      </c>
      <c r="D13" s="341"/>
      <c r="E13" s="341"/>
      <c r="F13" s="342" t="s">
        <v>278</v>
      </c>
      <c r="G13" s="343"/>
      <c r="H13" s="343"/>
      <c r="I13" s="342" t="s">
        <v>35</v>
      </c>
      <c r="J13" s="343"/>
      <c r="K13" s="343"/>
      <c r="L13" s="18"/>
      <c r="M13" s="19"/>
    </row>
    <row r="14" spans="1:13" ht="54" customHeight="1">
      <c r="A14" s="339"/>
      <c r="B14" s="339"/>
      <c r="C14" s="57" t="s">
        <v>45</v>
      </c>
      <c r="D14" s="58" t="s">
        <v>30</v>
      </c>
      <c r="E14" s="58" t="s">
        <v>279</v>
      </c>
      <c r="F14" s="57" t="s">
        <v>45</v>
      </c>
      <c r="G14" s="58" t="s">
        <v>30</v>
      </c>
      <c r="H14" s="58" t="s">
        <v>279</v>
      </c>
      <c r="I14" s="57" t="s">
        <v>45</v>
      </c>
      <c r="J14" s="58" t="s">
        <v>30</v>
      </c>
      <c r="K14" s="58" t="s">
        <v>279</v>
      </c>
      <c r="L14" s="18"/>
      <c r="M14" s="19"/>
    </row>
    <row r="15" spans="1:13">
      <c r="A15" s="12" t="s">
        <v>31</v>
      </c>
      <c r="B15" s="20" t="s">
        <v>32</v>
      </c>
      <c r="C15" s="20">
        <v>1</v>
      </c>
      <c r="D15" s="12">
        <v>2</v>
      </c>
      <c r="E15" s="12">
        <v>3</v>
      </c>
      <c r="F15" s="12">
        <v>4</v>
      </c>
      <c r="G15" s="12">
        <v>5</v>
      </c>
      <c r="H15" s="12">
        <v>6</v>
      </c>
      <c r="I15" s="12">
        <v>7</v>
      </c>
      <c r="J15" s="20">
        <v>8</v>
      </c>
      <c r="K15" s="21">
        <v>9</v>
      </c>
      <c r="L15" s="18"/>
      <c r="M15" s="19"/>
    </row>
    <row r="16" spans="1:13">
      <c r="A16" s="24" t="s">
        <v>46</v>
      </c>
      <c r="B16" s="25">
        <v>30</v>
      </c>
      <c r="C16" s="53">
        <v>10</v>
      </c>
      <c r="D16" s="26">
        <v>10</v>
      </c>
      <c r="E16" s="26">
        <v>246.8</v>
      </c>
      <c r="F16" s="26">
        <v>10</v>
      </c>
      <c r="G16" s="26">
        <v>10</v>
      </c>
      <c r="H16" s="26">
        <v>75.099999999999994</v>
      </c>
      <c r="I16" s="26">
        <v>10</v>
      </c>
      <c r="J16" s="26">
        <v>10</v>
      </c>
      <c r="K16" s="26">
        <v>190.3</v>
      </c>
      <c r="L16" s="22" t="s">
        <v>48</v>
      </c>
    </row>
    <row r="17" spans="1:11">
      <c r="A17" s="27" t="s">
        <v>58</v>
      </c>
      <c r="B17" s="28"/>
      <c r="C17" s="28"/>
      <c r="D17" s="28"/>
      <c r="E17" s="28"/>
      <c r="F17" s="28"/>
      <c r="G17" s="28"/>
      <c r="H17" s="28"/>
      <c r="I17" s="28"/>
      <c r="J17" s="28"/>
      <c r="K17" s="29"/>
    </row>
    <row r="18" spans="1:11" hidden="1">
      <c r="A18" s="23" t="s">
        <v>60</v>
      </c>
      <c r="B18" s="23" t="s">
        <v>61</v>
      </c>
      <c r="C18" s="23" t="s">
        <v>63</v>
      </c>
      <c r="D18" s="23" t="s">
        <v>62</v>
      </c>
      <c r="E18" s="23" t="s">
        <v>64</v>
      </c>
      <c r="F18" s="23" t="s">
        <v>65</v>
      </c>
      <c r="G18" s="23" t="s">
        <v>66</v>
      </c>
      <c r="H18" s="23" t="s">
        <v>67</v>
      </c>
      <c r="I18" s="23" t="s">
        <v>68</v>
      </c>
      <c r="J18" s="23" t="s">
        <v>69</v>
      </c>
      <c r="K18" s="23" t="s">
        <v>70</v>
      </c>
    </row>
    <row r="19" spans="1:11" ht="15.75" hidden="1" customHeight="1">
      <c r="A19" s="64"/>
      <c r="B19" s="296">
        <f>IFERROR(VLOOKUP(A19,КВЭД!A$1:B$92,2,FALSE),0)</f>
        <v>0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</row>
    <row r="20" spans="1:11" ht="15.75" customHeight="1">
      <c r="A20" s="64" t="s">
        <v>77</v>
      </c>
      <c r="B20" s="296" t="s">
        <v>76</v>
      </c>
      <c r="C20" s="34">
        <v>2</v>
      </c>
      <c r="D20" s="34">
        <v>2</v>
      </c>
      <c r="E20" s="34">
        <v>65.400000000000006</v>
      </c>
      <c r="F20" s="34">
        <v>2</v>
      </c>
      <c r="G20" s="34">
        <v>2</v>
      </c>
      <c r="H20" s="34">
        <v>12</v>
      </c>
      <c r="I20" s="34">
        <v>2</v>
      </c>
      <c r="J20" s="34">
        <v>2</v>
      </c>
      <c r="K20" s="34">
        <v>64.7</v>
      </c>
    </row>
    <row r="21" spans="1:11" ht="15.75" customHeight="1">
      <c r="A21" s="64" t="s">
        <v>79</v>
      </c>
      <c r="B21" s="296" t="s">
        <v>78</v>
      </c>
      <c r="C21" s="34">
        <v>2</v>
      </c>
      <c r="D21" s="34">
        <v>2</v>
      </c>
      <c r="E21" s="34">
        <v>23.8</v>
      </c>
      <c r="F21" s="34">
        <v>2</v>
      </c>
      <c r="G21" s="34">
        <v>2</v>
      </c>
      <c r="H21" s="34">
        <v>32</v>
      </c>
      <c r="I21" s="34">
        <v>2</v>
      </c>
      <c r="J21" s="34">
        <v>2</v>
      </c>
      <c r="K21" s="34">
        <v>28.7</v>
      </c>
    </row>
    <row r="22" spans="1:11" ht="15.75" customHeight="1">
      <c r="A22" s="64" t="s">
        <v>81</v>
      </c>
      <c r="B22" s="296" t="s">
        <v>80</v>
      </c>
      <c r="C22" s="34">
        <v>2</v>
      </c>
      <c r="D22" s="34">
        <v>2</v>
      </c>
      <c r="E22" s="34">
        <v>41.6</v>
      </c>
      <c r="F22" s="34">
        <v>2</v>
      </c>
      <c r="G22" s="34">
        <v>2</v>
      </c>
      <c r="H22" s="34">
        <v>25</v>
      </c>
      <c r="I22" s="34">
        <v>2</v>
      </c>
      <c r="J22" s="34">
        <v>2</v>
      </c>
      <c r="K22" s="34">
        <v>54.6</v>
      </c>
    </row>
    <row r="23" spans="1:11" ht="15.75" customHeight="1">
      <c r="A23" s="64" t="s">
        <v>84</v>
      </c>
      <c r="B23" s="296" t="s">
        <v>83</v>
      </c>
      <c r="C23" s="34">
        <v>2</v>
      </c>
      <c r="D23" s="34">
        <v>2</v>
      </c>
      <c r="E23" s="34">
        <v>68.900000000000006</v>
      </c>
      <c r="F23" s="34">
        <v>2</v>
      </c>
      <c r="G23" s="34">
        <v>2</v>
      </c>
      <c r="H23" s="34">
        <v>0</v>
      </c>
      <c r="I23" s="34">
        <v>2</v>
      </c>
      <c r="J23" s="34">
        <v>2</v>
      </c>
      <c r="K23" s="34">
        <v>0</v>
      </c>
    </row>
    <row r="24" spans="1:11" ht="15.75" customHeight="1">
      <c r="A24" s="64" t="s">
        <v>2146</v>
      </c>
      <c r="B24" s="296" t="s">
        <v>87</v>
      </c>
      <c r="C24" s="34">
        <v>2</v>
      </c>
      <c r="D24" s="34">
        <v>2</v>
      </c>
      <c r="E24" s="34">
        <v>47.1</v>
      </c>
      <c r="F24" s="34">
        <v>2</v>
      </c>
      <c r="G24" s="34">
        <v>2</v>
      </c>
      <c r="H24" s="34">
        <v>6.1</v>
      </c>
      <c r="I24" s="34">
        <v>2</v>
      </c>
      <c r="J24" s="34">
        <v>2</v>
      </c>
      <c r="K24" s="34">
        <v>42.3</v>
      </c>
    </row>
    <row r="25" spans="1:11">
      <c r="A25" s="27" t="s">
        <v>59</v>
      </c>
      <c r="B25" s="28"/>
      <c r="C25" s="28"/>
      <c r="D25" s="28"/>
      <c r="E25" s="28"/>
      <c r="F25" s="28"/>
      <c r="G25" s="28"/>
      <c r="H25" s="28"/>
      <c r="I25" s="28"/>
      <c r="J25" s="28"/>
      <c r="K25" s="29"/>
    </row>
    <row r="26" spans="1:1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</row>
    <row r="27" spans="1:11" ht="15.75" thickBot="1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</row>
    <row r="28" spans="1:11">
      <c r="A28" s="38" t="s">
        <v>236</v>
      </c>
      <c r="B28" s="39" t="s">
        <v>240</v>
      </c>
      <c r="C28" s="39" t="s">
        <v>242</v>
      </c>
      <c r="D28" s="39" t="s">
        <v>244</v>
      </c>
      <c r="E28" s="39" t="s">
        <v>246</v>
      </c>
      <c r="F28" s="39" t="s">
        <v>248</v>
      </c>
      <c r="G28" s="39" t="s">
        <v>250</v>
      </c>
      <c r="H28" s="39" t="s">
        <v>252</v>
      </c>
      <c r="I28" s="39" t="s">
        <v>254</v>
      </c>
      <c r="J28" s="40" t="s">
        <v>256</v>
      </c>
      <c r="K28" s="23"/>
    </row>
    <row r="29" spans="1:11">
      <c r="A29" s="41">
        <v>1</v>
      </c>
      <c r="B29" s="35">
        <v>2</v>
      </c>
      <c r="C29" s="35">
        <v>3</v>
      </c>
      <c r="D29" s="35">
        <v>4</v>
      </c>
      <c r="E29" s="35">
        <v>5</v>
      </c>
      <c r="F29" s="35">
        <v>6</v>
      </c>
      <c r="G29" s="35">
        <v>7</v>
      </c>
      <c r="H29" s="35">
        <v>8</v>
      </c>
      <c r="I29" s="35">
        <v>9</v>
      </c>
      <c r="J29" s="42">
        <v>10</v>
      </c>
      <c r="K29" s="23"/>
    </row>
    <row r="30" spans="1:11">
      <c r="A30" s="43" t="s">
        <v>238</v>
      </c>
      <c r="B30" s="37"/>
      <c r="C30" s="37"/>
      <c r="D30" s="37"/>
      <c r="E30" s="37"/>
      <c r="F30" s="37"/>
      <c r="G30" s="37"/>
      <c r="H30" s="37"/>
      <c r="I30" s="37"/>
      <c r="J30" s="44"/>
      <c r="K30" s="23"/>
    </row>
    <row r="31" spans="1:11" hidden="1">
      <c r="A31" s="45" t="s">
        <v>237</v>
      </c>
      <c r="B31" s="36" t="s">
        <v>241</v>
      </c>
      <c r="C31" s="36" t="s">
        <v>243</v>
      </c>
      <c r="D31" s="36" t="s">
        <v>245</v>
      </c>
      <c r="E31" s="36" t="s">
        <v>247</v>
      </c>
      <c r="F31" s="36" t="s">
        <v>249</v>
      </c>
      <c r="G31" s="36" t="s">
        <v>251</v>
      </c>
      <c r="H31" s="36" t="s">
        <v>253</v>
      </c>
      <c r="I31" s="36" t="s">
        <v>255</v>
      </c>
      <c r="J31" s="46" t="s">
        <v>257</v>
      </c>
      <c r="K31" s="23"/>
    </row>
    <row r="32" spans="1:11" hidden="1">
      <c r="A32" s="50">
        <v>1</v>
      </c>
      <c r="B32" s="36"/>
      <c r="C32" s="35"/>
      <c r="D32" s="36"/>
      <c r="E32" s="51"/>
      <c r="F32" s="36"/>
      <c r="G32" s="35"/>
      <c r="H32" s="35"/>
      <c r="I32" s="36"/>
      <c r="J32" s="46"/>
      <c r="K32" s="23"/>
    </row>
    <row r="33" spans="1:11">
      <c r="A33" s="50">
        <v>1</v>
      </c>
      <c r="B33" s="52">
        <f>XMLTAG_Раздел1и2_ЗаОтчетныйМесяцПостр_01</f>
        <v>10</v>
      </c>
      <c r="C33" s="35" t="s">
        <v>266</v>
      </c>
      <c r="D33" s="36" t="s">
        <v>258</v>
      </c>
      <c r="E33" s="51" t="s">
        <v>267</v>
      </c>
      <c r="F33" s="52">
        <f>XMLTAG_Раздел1и2_СуммаСтр30Гр1</f>
        <v>10</v>
      </c>
      <c r="G33" s="35" t="s">
        <v>268</v>
      </c>
      <c r="H33" s="35" t="s">
        <v>269</v>
      </c>
      <c r="I33" s="36"/>
      <c r="J33" s="46" t="s">
        <v>281</v>
      </c>
      <c r="K33" s="23"/>
    </row>
    <row r="34" spans="1:11">
      <c r="A34" s="50">
        <v>1</v>
      </c>
      <c r="B34" s="52">
        <f>XMLTAG_Раздел1и2_ЗаПредыдущийМесяцПостр_01</f>
        <v>10</v>
      </c>
      <c r="C34" s="35" t="s">
        <v>266</v>
      </c>
      <c r="D34" s="36" t="s">
        <v>258</v>
      </c>
      <c r="E34" s="51" t="s">
        <v>270</v>
      </c>
      <c r="F34" s="52">
        <f>XMLTAG_Раздел1и2_СуммаСтр30Гр2</f>
        <v>10</v>
      </c>
      <c r="G34" s="35" t="s">
        <v>268</v>
      </c>
      <c r="H34" s="35" t="s">
        <v>269</v>
      </c>
      <c r="I34" s="36"/>
      <c r="J34" s="46" t="s">
        <v>282</v>
      </c>
      <c r="K34" s="23"/>
    </row>
    <row r="35" spans="1:11">
      <c r="A35" s="50">
        <v>1</v>
      </c>
      <c r="B35" s="52">
        <f>XMLTAG_Раздел1и2_ЗаСоотвМесяцПрошлогоГодаПостр_01</f>
        <v>246.8</v>
      </c>
      <c r="C35" s="35" t="s">
        <v>266</v>
      </c>
      <c r="D35" s="36" t="s">
        <v>258</v>
      </c>
      <c r="E35" s="51" t="s">
        <v>271</v>
      </c>
      <c r="F35" s="52">
        <f>XMLTAG_Раздел1и2_СуммаСтр30Гр3</f>
        <v>246.8</v>
      </c>
      <c r="G35" s="35" t="s">
        <v>268</v>
      </c>
      <c r="H35" s="35" t="s">
        <v>269</v>
      </c>
      <c r="I35" s="36"/>
      <c r="J35" s="46" t="s">
        <v>283</v>
      </c>
      <c r="K35" s="23"/>
    </row>
    <row r="36" spans="1:11">
      <c r="A36" s="50">
        <v>1</v>
      </c>
      <c r="B36" s="52">
        <f>XMLTAG_Раздел1и2_ЗаОтчетныйМесяцПостр_02</f>
        <v>10</v>
      </c>
      <c r="C36" s="35" t="s">
        <v>266</v>
      </c>
      <c r="D36" s="36" t="s">
        <v>258</v>
      </c>
      <c r="E36" s="51" t="s">
        <v>272</v>
      </c>
      <c r="F36" s="52">
        <f>XMLTAG_Раздел1и2_СуммаСтр30Гр4</f>
        <v>10</v>
      </c>
      <c r="G36" s="35" t="s">
        <v>268</v>
      </c>
      <c r="H36" s="35" t="s">
        <v>269</v>
      </c>
      <c r="I36" s="36"/>
      <c r="J36" s="46" t="s">
        <v>284</v>
      </c>
      <c r="K36" s="23"/>
    </row>
    <row r="37" spans="1:11">
      <c r="A37" s="50">
        <v>1</v>
      </c>
      <c r="B37" s="52">
        <f>XMLTAG_Раздел1и2_ЗаПредыдущийМесяцПостр_02</f>
        <v>10</v>
      </c>
      <c r="C37" s="35" t="s">
        <v>266</v>
      </c>
      <c r="D37" s="36" t="s">
        <v>258</v>
      </c>
      <c r="E37" s="51" t="s">
        <v>273</v>
      </c>
      <c r="F37" s="52">
        <f>XMLTAG_Раздел1и2_СуммаСтр30Гр5</f>
        <v>10</v>
      </c>
      <c r="G37" s="35" t="s">
        <v>268</v>
      </c>
      <c r="H37" s="35" t="s">
        <v>269</v>
      </c>
      <c r="I37" s="36"/>
      <c r="J37" s="46" t="s">
        <v>285</v>
      </c>
      <c r="K37" s="23"/>
    </row>
    <row r="38" spans="1:11">
      <c r="A38" s="50">
        <v>1</v>
      </c>
      <c r="B38" s="52">
        <f>XMLTAG_Раздел1и2_ЗаСоотвМесяцПрошлогоГодаПостр_02</f>
        <v>75.099999999999994</v>
      </c>
      <c r="C38" s="35" t="s">
        <v>266</v>
      </c>
      <c r="D38" s="36" t="s">
        <v>258</v>
      </c>
      <c r="E38" s="51" t="s">
        <v>274</v>
      </c>
      <c r="F38" s="52">
        <f>XMLTAG_Раздел1и2_СуммаСтр30Гр6</f>
        <v>75.099999999999994</v>
      </c>
      <c r="G38" s="35" t="s">
        <v>268</v>
      </c>
      <c r="H38" s="35" t="s">
        <v>269</v>
      </c>
      <c r="I38" s="36"/>
      <c r="J38" s="46" t="s">
        <v>286</v>
      </c>
      <c r="K38" s="23"/>
    </row>
    <row r="39" spans="1:11">
      <c r="A39" s="50">
        <v>1</v>
      </c>
      <c r="B39" s="52">
        <f>XMLTAG_Раздел1и2_ЗаОтчетныйМесяцПостр_05</f>
        <v>10</v>
      </c>
      <c r="C39" s="35" t="s">
        <v>266</v>
      </c>
      <c r="D39" s="36" t="s">
        <v>258</v>
      </c>
      <c r="E39" s="51" t="s">
        <v>275</v>
      </c>
      <c r="F39" s="52">
        <f>XMLTAG_Раздел1и2_СуммаСтр30Гр7</f>
        <v>10</v>
      </c>
      <c r="G39" s="35" t="s">
        <v>268</v>
      </c>
      <c r="H39" s="35" t="s">
        <v>269</v>
      </c>
      <c r="I39" s="36"/>
      <c r="J39" s="46" t="s">
        <v>2210</v>
      </c>
      <c r="K39" s="23"/>
    </row>
    <row r="40" spans="1:11">
      <c r="A40" s="50">
        <v>1</v>
      </c>
      <c r="B40" s="52">
        <f>XMLTAG_Раздел1и2_ЗаПредыдущийМесяцПостр_05</f>
        <v>10</v>
      </c>
      <c r="C40" s="35" t="s">
        <v>266</v>
      </c>
      <c r="D40" s="36" t="s">
        <v>258</v>
      </c>
      <c r="E40" s="51" t="s">
        <v>276</v>
      </c>
      <c r="F40" s="52">
        <f>XMLTAG_Раздел1и2_СуммаСтр30Гр8</f>
        <v>10</v>
      </c>
      <c r="G40" s="35" t="s">
        <v>268</v>
      </c>
      <c r="H40" s="35" t="s">
        <v>269</v>
      </c>
      <c r="I40" s="36"/>
      <c r="J40" s="46" t="s">
        <v>2211</v>
      </c>
      <c r="K40" s="23"/>
    </row>
    <row r="41" spans="1:11">
      <c r="A41" s="50">
        <v>1</v>
      </c>
      <c r="B41" s="52">
        <f>XMLTAG_Раздел1и2_ЗаСоотвМесяцПрошлогоГодаПостр_05</f>
        <v>190.3</v>
      </c>
      <c r="C41" s="35" t="s">
        <v>266</v>
      </c>
      <c r="D41" s="36" t="s">
        <v>258</v>
      </c>
      <c r="E41" s="51" t="s">
        <v>277</v>
      </c>
      <c r="F41" s="52">
        <f>XMLTAG_Раздел1и2_СуммаСтр30Гр9</f>
        <v>190.3</v>
      </c>
      <c r="G41" s="35" t="s">
        <v>268</v>
      </c>
      <c r="H41" s="35" t="s">
        <v>269</v>
      </c>
      <c r="I41" s="36"/>
      <c r="J41" s="46" t="s">
        <v>2212</v>
      </c>
      <c r="K41" s="23"/>
    </row>
    <row r="42" spans="1:11" ht="15.75" thickBot="1">
      <c r="A42" s="47" t="s">
        <v>239</v>
      </c>
      <c r="B42" s="48"/>
      <c r="C42" s="48"/>
      <c r="D42" s="48"/>
      <c r="E42" s="48"/>
      <c r="F42" s="48"/>
      <c r="G42" s="48"/>
      <c r="H42" s="48"/>
      <c r="I42" s="48"/>
      <c r="J42" s="49"/>
      <c r="K42" s="23"/>
    </row>
    <row r="43" spans="1:11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</row>
    <row r="44" spans="1:11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</row>
    <row r="45" spans="1:11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</row>
    <row r="46" spans="1:11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</row>
    <row r="47" spans="1:11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</row>
    <row r="48" spans="1:11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</row>
    <row r="49" spans="1:11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</row>
    <row r="50" spans="1:1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</row>
    <row r="51" spans="1:11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</row>
    <row r="52" spans="1:11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</row>
    <row r="53" spans="1:11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</row>
    <row r="54" spans="1:11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</row>
    <row r="55" spans="1:11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</row>
  </sheetData>
  <sheetProtection sheet="1" objects="1" scenarios="1"/>
  <mergeCells count="11">
    <mergeCell ref="A12:K12"/>
    <mergeCell ref="A1:E1"/>
    <mergeCell ref="A2:A3"/>
    <mergeCell ref="B2:B3"/>
    <mergeCell ref="C2:E2"/>
    <mergeCell ref="A11:K11"/>
    <mergeCell ref="A13:A14"/>
    <mergeCell ref="B13:B14"/>
    <mergeCell ref="C13:E13"/>
    <mergeCell ref="F13:H13"/>
    <mergeCell ref="I13:K13"/>
  </mergeCells>
  <dataValidations count="4">
    <dataValidation type="list" allowBlank="1" showInputMessage="1" showErrorMessage="1" sqref="C32:C41">
      <formula1>"&gt;,&lt;,=,&gt;=,&lt;="</formula1>
    </dataValidation>
    <dataValidation type="list" allowBlank="1" showInputMessage="1" showErrorMessage="1" sqref="G32:G41">
      <formula1>"Текущий,Предыдущий"</formula1>
    </dataValidation>
    <dataValidation type="list" allowBlank="1" showInputMessage="1" showErrorMessage="1" sqref="H32:H41">
      <formula1>"Не строгое исключение,Строгое исключение"</formula1>
    </dataValidation>
    <dataValidation type="decimal" operator="greaterThanOrEqual" allowBlank="1" showInputMessage="1" showErrorMessage="1" sqref="C7:E7">
      <formula1>C8</formula1>
    </dataValidation>
  </dataValidations>
  <pageMargins left="0.70866141732283472" right="0.70866141732283472" top="0.74803149606299213" bottom="0.74803149606299213" header="0.31496062992125984" footer="0.31496062992125984"/>
  <pageSetup paperSize="9" scale="7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Технический!$H$2:$O$2</xm:f>
          </x14:formula1>
          <xm:sqref>D32:D41</xm:sqref>
        </x14:dataValidation>
        <x14:dataValidation type="list" allowBlank="1" showInputMessage="1" showErrorMessage="1">
          <x14:formula1>
            <xm:f>КВЭД!$A$1:$A$92</xm:f>
          </x14:formula1>
          <xm:sqref>A19:A24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9"/>
  <sheetViews>
    <sheetView zoomScale="130" zoomScaleNormal="130" workbookViewId="0">
      <selection activeCell="A31" sqref="A31:L31"/>
    </sheetView>
  </sheetViews>
  <sheetFormatPr defaultRowHeight="15"/>
  <cols>
    <col min="1" max="1" width="45.140625" customWidth="1"/>
    <col min="2" max="2" width="11" customWidth="1"/>
    <col min="3" max="3" width="13.42578125" customWidth="1"/>
    <col min="4" max="4" width="11.7109375" customWidth="1"/>
    <col min="5" max="6" width="10.7109375" customWidth="1"/>
    <col min="7" max="7" width="11.7109375" customWidth="1"/>
    <col min="8" max="9" width="10.7109375" customWidth="1"/>
    <col min="10" max="10" width="11.7109375" customWidth="1"/>
    <col min="11" max="12" width="10.7109375" customWidth="1"/>
  </cols>
  <sheetData>
    <row r="1" spans="1:14">
      <c r="A1" s="348" t="s">
        <v>49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</row>
    <row r="2" spans="1:14">
      <c r="A2" s="349"/>
      <c r="B2" s="349"/>
      <c r="C2" s="349"/>
      <c r="D2" s="349"/>
      <c r="E2" s="349"/>
      <c r="F2" s="349"/>
      <c r="G2" s="349"/>
      <c r="H2" s="349"/>
      <c r="I2" s="349"/>
      <c r="J2" s="349"/>
      <c r="K2" s="349"/>
      <c r="L2" s="349"/>
    </row>
    <row r="3" spans="1:14">
      <c r="A3" s="340" t="s">
        <v>50</v>
      </c>
      <c r="B3" s="338" t="s">
        <v>1994</v>
      </c>
      <c r="C3" s="351" t="s">
        <v>51</v>
      </c>
      <c r="D3" s="342" t="s">
        <v>52</v>
      </c>
      <c r="E3" s="343"/>
      <c r="F3" s="343"/>
      <c r="G3" s="343"/>
      <c r="H3" s="343"/>
      <c r="I3" s="343"/>
      <c r="J3" s="343"/>
      <c r="K3" s="343"/>
      <c r="L3" s="343"/>
      <c r="M3" s="18"/>
      <c r="N3" s="19"/>
    </row>
    <row r="4" spans="1:14" ht="28.5" customHeight="1">
      <c r="A4" s="350"/>
      <c r="B4" s="339"/>
      <c r="C4" s="352"/>
      <c r="D4" s="342" t="s">
        <v>53</v>
      </c>
      <c r="E4" s="343"/>
      <c r="F4" s="353"/>
      <c r="G4" s="342" t="s">
        <v>30</v>
      </c>
      <c r="H4" s="343"/>
      <c r="I4" s="353"/>
      <c r="J4" s="342" t="s">
        <v>54</v>
      </c>
      <c r="K4" s="343"/>
      <c r="L4" s="343"/>
      <c r="M4" s="18"/>
      <c r="N4" s="19"/>
    </row>
    <row r="5" spans="1:14" ht="51">
      <c r="A5" s="350"/>
      <c r="B5" s="339"/>
      <c r="C5" s="352"/>
      <c r="D5" s="20" t="s">
        <v>55</v>
      </c>
      <c r="E5" s="12" t="s">
        <v>2157</v>
      </c>
      <c r="F5" s="12" t="s">
        <v>57</v>
      </c>
      <c r="G5" s="20" t="s">
        <v>55</v>
      </c>
      <c r="H5" s="12" t="s">
        <v>2157</v>
      </c>
      <c r="I5" s="12" t="s">
        <v>57</v>
      </c>
      <c r="J5" s="20" t="s">
        <v>55</v>
      </c>
      <c r="K5" s="12" t="s">
        <v>2157</v>
      </c>
      <c r="L5" s="12" t="s">
        <v>57</v>
      </c>
    </row>
    <row r="6" spans="1:14">
      <c r="A6" s="59" t="s">
        <v>31</v>
      </c>
      <c r="B6" s="60" t="s">
        <v>32</v>
      </c>
      <c r="C6" s="60" t="s">
        <v>56</v>
      </c>
      <c r="D6" s="59">
        <v>1</v>
      </c>
      <c r="E6" s="59">
        <v>2</v>
      </c>
      <c r="F6" s="59">
        <v>3</v>
      </c>
      <c r="G6" s="59">
        <v>4</v>
      </c>
      <c r="H6" s="59">
        <v>5</v>
      </c>
      <c r="I6" s="59">
        <v>6</v>
      </c>
      <c r="J6" s="59">
        <v>7</v>
      </c>
      <c r="K6" s="60">
        <v>8</v>
      </c>
      <c r="L6" s="60">
        <v>9</v>
      </c>
    </row>
    <row r="7" spans="1:14">
      <c r="A7" s="61" t="s">
        <v>58</v>
      </c>
      <c r="B7" s="62"/>
      <c r="C7" s="62"/>
      <c r="D7" s="62"/>
      <c r="E7" s="62"/>
      <c r="F7" s="62"/>
      <c r="G7" s="62"/>
      <c r="H7" s="62"/>
      <c r="I7" s="62"/>
      <c r="J7" s="62"/>
      <c r="K7" s="62"/>
      <c r="L7" s="29"/>
    </row>
    <row r="8" spans="1:14" hidden="1">
      <c r="A8" s="23" t="s">
        <v>287</v>
      </c>
      <c r="B8" s="23" t="s">
        <v>288</v>
      </c>
      <c r="C8" s="23" t="s">
        <v>289</v>
      </c>
      <c r="D8" s="23" t="s">
        <v>290</v>
      </c>
      <c r="E8" s="23" t="s">
        <v>291</v>
      </c>
      <c r="F8" s="23" t="s">
        <v>292</v>
      </c>
      <c r="G8" s="23" t="s">
        <v>293</v>
      </c>
      <c r="H8" s="23" t="s">
        <v>294</v>
      </c>
      <c r="I8" s="23" t="s">
        <v>295</v>
      </c>
      <c r="J8" s="23" t="s">
        <v>296</v>
      </c>
      <c r="K8" s="23" t="s">
        <v>297</v>
      </c>
      <c r="L8" s="23" t="s">
        <v>298</v>
      </c>
    </row>
    <row r="9" spans="1:14" hidden="1">
      <c r="A9" s="113">
        <f>IFERROR(VLOOKUP(C9,'Виды продукции'!B$3:D$1170,2,FALSE),0)</f>
        <v>0</v>
      </c>
      <c r="B9" s="65">
        <f>IFERROR(VLOOKUP(C9,'Виды продукции'!B$3:D$1170,3,FALSE),0)</f>
        <v>0</v>
      </c>
      <c r="C9" s="298"/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34">
        <v>0</v>
      </c>
    </row>
    <row r="10" spans="1:14">
      <c r="A10" s="113" t="s">
        <v>2158</v>
      </c>
      <c r="B10" s="65" t="s">
        <v>302</v>
      </c>
      <c r="C10" s="298" t="s">
        <v>353</v>
      </c>
      <c r="D10" s="34">
        <v>3.6</v>
      </c>
      <c r="E10" s="34">
        <v>3.2</v>
      </c>
      <c r="F10" s="34">
        <v>0</v>
      </c>
      <c r="G10" s="34">
        <v>1</v>
      </c>
      <c r="H10" s="34">
        <v>0</v>
      </c>
      <c r="I10" s="34">
        <v>0</v>
      </c>
      <c r="J10" s="34">
        <v>1</v>
      </c>
      <c r="K10" s="34">
        <v>0</v>
      </c>
      <c r="L10" s="34">
        <v>0</v>
      </c>
    </row>
    <row r="11" spans="1:14">
      <c r="A11" s="113" t="s">
        <v>354</v>
      </c>
      <c r="B11" s="65" t="s">
        <v>302</v>
      </c>
      <c r="C11" s="298" t="s">
        <v>307</v>
      </c>
      <c r="D11" s="34">
        <v>3.6</v>
      </c>
      <c r="E11" s="34">
        <v>3.2</v>
      </c>
      <c r="F11" s="34">
        <v>0</v>
      </c>
      <c r="G11" s="34">
        <v>1</v>
      </c>
      <c r="H11" s="34">
        <v>0</v>
      </c>
      <c r="I11" s="34">
        <v>0</v>
      </c>
      <c r="J11" s="34">
        <v>1</v>
      </c>
      <c r="K11" s="34">
        <v>0</v>
      </c>
      <c r="L11" s="34">
        <v>0</v>
      </c>
    </row>
    <row r="12" spans="1:14">
      <c r="A12" s="113" t="s">
        <v>377</v>
      </c>
      <c r="B12" s="65" t="s">
        <v>302</v>
      </c>
      <c r="C12" s="298" t="s">
        <v>376</v>
      </c>
      <c r="D12" s="34">
        <v>0</v>
      </c>
      <c r="E12" s="34">
        <v>0</v>
      </c>
      <c r="F12" s="34">
        <v>0</v>
      </c>
      <c r="G12" s="34">
        <v>1</v>
      </c>
      <c r="H12" s="34">
        <v>0</v>
      </c>
      <c r="I12" s="34">
        <v>1</v>
      </c>
      <c r="J12" s="34">
        <v>1</v>
      </c>
      <c r="K12" s="34">
        <v>0</v>
      </c>
      <c r="L12" s="34">
        <v>0</v>
      </c>
    </row>
    <row r="13" spans="1:14">
      <c r="A13" s="113" t="s">
        <v>389</v>
      </c>
      <c r="B13" s="65" t="s">
        <v>302</v>
      </c>
      <c r="C13" s="298" t="s">
        <v>388</v>
      </c>
      <c r="D13" s="34">
        <v>0</v>
      </c>
      <c r="E13" s="34">
        <v>0</v>
      </c>
      <c r="F13" s="34">
        <v>0</v>
      </c>
      <c r="G13" s="34">
        <v>2</v>
      </c>
      <c r="H13" s="34">
        <v>0</v>
      </c>
      <c r="I13" s="34">
        <v>0</v>
      </c>
      <c r="J13" s="34">
        <v>1</v>
      </c>
      <c r="K13" s="34">
        <v>0</v>
      </c>
      <c r="L13" s="34">
        <v>0</v>
      </c>
    </row>
    <row r="14" spans="1:14">
      <c r="A14" s="113" t="s">
        <v>403</v>
      </c>
      <c r="B14" s="65" t="s">
        <v>302</v>
      </c>
      <c r="C14" s="298" t="s">
        <v>402</v>
      </c>
      <c r="D14" s="34">
        <v>61.9</v>
      </c>
      <c r="E14" s="34">
        <v>0</v>
      </c>
      <c r="F14" s="34">
        <v>6.4</v>
      </c>
      <c r="G14" s="34">
        <v>5</v>
      </c>
      <c r="H14" s="34">
        <v>0</v>
      </c>
      <c r="I14" s="34">
        <v>0</v>
      </c>
      <c r="J14" s="34">
        <v>1</v>
      </c>
      <c r="K14" s="34">
        <v>0</v>
      </c>
      <c r="L14" s="34">
        <v>0</v>
      </c>
    </row>
    <row r="15" spans="1:14">
      <c r="A15" s="113" t="s">
        <v>405</v>
      </c>
      <c r="B15" s="65" t="s">
        <v>302</v>
      </c>
      <c r="C15" s="298" t="s">
        <v>404</v>
      </c>
      <c r="D15" s="34">
        <v>61.9</v>
      </c>
      <c r="E15" s="34">
        <v>0</v>
      </c>
      <c r="F15" s="34">
        <v>6.4</v>
      </c>
      <c r="G15" s="34">
        <v>6</v>
      </c>
      <c r="H15" s="34">
        <v>0</v>
      </c>
      <c r="I15" s="34">
        <v>0</v>
      </c>
      <c r="J15" s="34">
        <v>1</v>
      </c>
      <c r="K15" s="34">
        <v>0</v>
      </c>
      <c r="L15" s="34">
        <v>0</v>
      </c>
    </row>
    <row r="16" spans="1:14">
      <c r="A16" s="113" t="s">
        <v>313</v>
      </c>
      <c r="B16" s="65" t="s">
        <v>302</v>
      </c>
      <c r="C16" s="298" t="s">
        <v>312</v>
      </c>
      <c r="D16" s="34">
        <v>7.1</v>
      </c>
      <c r="E16" s="34">
        <v>0</v>
      </c>
      <c r="F16" s="34">
        <v>0</v>
      </c>
      <c r="G16" s="34">
        <v>87</v>
      </c>
      <c r="H16" s="34">
        <v>1</v>
      </c>
      <c r="I16" s="34">
        <v>0</v>
      </c>
      <c r="J16" s="34">
        <v>1</v>
      </c>
      <c r="K16" s="34">
        <v>0</v>
      </c>
      <c r="L16" s="34">
        <v>1</v>
      </c>
    </row>
    <row r="17" spans="1:12">
      <c r="A17" s="113" t="s">
        <v>321</v>
      </c>
      <c r="B17" s="65" t="s">
        <v>302</v>
      </c>
      <c r="C17" s="298" t="s">
        <v>320</v>
      </c>
      <c r="D17" s="34">
        <v>8.5</v>
      </c>
      <c r="E17" s="34">
        <v>0</v>
      </c>
      <c r="F17" s="34">
        <v>4.3</v>
      </c>
      <c r="G17" s="34">
        <v>6</v>
      </c>
      <c r="H17" s="34">
        <v>0</v>
      </c>
      <c r="I17" s="34">
        <v>0</v>
      </c>
      <c r="J17" s="34">
        <v>1</v>
      </c>
      <c r="K17" s="34">
        <v>0</v>
      </c>
      <c r="L17" s="34">
        <v>0</v>
      </c>
    </row>
    <row r="18" spans="1:12">
      <c r="A18" s="113" t="s">
        <v>492</v>
      </c>
      <c r="B18" s="65" t="s">
        <v>302</v>
      </c>
      <c r="C18" s="298" t="s">
        <v>491</v>
      </c>
      <c r="D18" s="34">
        <v>8.5</v>
      </c>
      <c r="E18" s="34">
        <v>0</v>
      </c>
      <c r="F18" s="34">
        <v>4.3</v>
      </c>
      <c r="G18" s="34">
        <v>2</v>
      </c>
      <c r="H18" s="34">
        <v>0</v>
      </c>
      <c r="I18" s="34">
        <v>0</v>
      </c>
      <c r="J18" s="34">
        <v>1</v>
      </c>
      <c r="K18" s="34">
        <v>1</v>
      </c>
      <c r="L18" s="34">
        <v>0</v>
      </c>
    </row>
    <row r="19" spans="1:12">
      <c r="A19" s="113" t="s">
        <v>2005</v>
      </c>
      <c r="B19" s="65" t="s">
        <v>311</v>
      </c>
      <c r="C19" s="298" t="s">
        <v>2004</v>
      </c>
      <c r="D19" s="34">
        <v>24</v>
      </c>
      <c r="E19" s="34">
        <v>0</v>
      </c>
      <c r="F19" s="34">
        <v>0</v>
      </c>
      <c r="G19" s="34">
        <v>5</v>
      </c>
      <c r="H19" s="34">
        <v>0</v>
      </c>
      <c r="I19" s="34">
        <v>1</v>
      </c>
      <c r="J19" s="34">
        <v>1</v>
      </c>
      <c r="K19" s="34">
        <v>0</v>
      </c>
      <c r="L19" s="34">
        <v>0</v>
      </c>
    </row>
    <row r="20" spans="1:12">
      <c r="A20" s="113" t="s">
        <v>605</v>
      </c>
      <c r="B20" s="65" t="s">
        <v>302</v>
      </c>
      <c r="C20" s="298" t="s">
        <v>604</v>
      </c>
      <c r="D20" s="34">
        <v>612.70000000000005</v>
      </c>
      <c r="E20" s="34">
        <v>21.4</v>
      </c>
      <c r="F20" s="34">
        <v>25.4</v>
      </c>
      <c r="G20" s="34">
        <v>4</v>
      </c>
      <c r="H20" s="34">
        <v>0</v>
      </c>
      <c r="I20" s="34">
        <v>0</v>
      </c>
      <c r="J20" s="34">
        <v>1</v>
      </c>
      <c r="K20" s="34">
        <v>0</v>
      </c>
      <c r="L20" s="34">
        <v>1</v>
      </c>
    </row>
    <row r="21" spans="1:12">
      <c r="A21" s="113" t="s">
        <v>617</v>
      </c>
      <c r="B21" s="65" t="s">
        <v>302</v>
      </c>
      <c r="C21" s="298" t="s">
        <v>616</v>
      </c>
      <c r="D21" s="34">
        <v>12</v>
      </c>
      <c r="E21" s="34">
        <v>0</v>
      </c>
      <c r="F21" s="34">
        <v>0</v>
      </c>
      <c r="G21" s="34">
        <v>8</v>
      </c>
      <c r="H21" s="34">
        <v>0</v>
      </c>
      <c r="I21" s="34">
        <v>0</v>
      </c>
      <c r="J21" s="34">
        <v>1</v>
      </c>
      <c r="K21" s="34">
        <v>0</v>
      </c>
      <c r="L21" s="34">
        <v>0</v>
      </c>
    </row>
    <row r="22" spans="1:12">
      <c r="A22" s="113" t="s">
        <v>635</v>
      </c>
      <c r="B22" s="65" t="s">
        <v>302</v>
      </c>
      <c r="C22" s="298" t="s">
        <v>634</v>
      </c>
      <c r="D22" s="34">
        <v>145.6</v>
      </c>
      <c r="E22" s="34">
        <v>5.4</v>
      </c>
      <c r="F22" s="34">
        <v>0</v>
      </c>
      <c r="G22" s="34">
        <v>9</v>
      </c>
      <c r="H22" s="34">
        <v>0</v>
      </c>
      <c r="I22" s="34">
        <v>0</v>
      </c>
      <c r="J22" s="34">
        <v>1</v>
      </c>
      <c r="K22" s="34">
        <v>0</v>
      </c>
      <c r="L22" s="34">
        <v>0</v>
      </c>
    </row>
    <row r="23" spans="1:12">
      <c r="A23" s="113" t="s">
        <v>643</v>
      </c>
      <c r="B23" s="65" t="s">
        <v>302</v>
      </c>
      <c r="C23" s="298" t="s">
        <v>642</v>
      </c>
      <c r="D23" s="34">
        <v>125.8</v>
      </c>
      <c r="E23" s="34">
        <v>0</v>
      </c>
      <c r="F23" s="34">
        <v>0</v>
      </c>
      <c r="G23" s="34">
        <v>0</v>
      </c>
      <c r="H23" s="34">
        <v>0</v>
      </c>
      <c r="I23" s="34">
        <v>0</v>
      </c>
      <c r="J23" s="34">
        <v>1</v>
      </c>
      <c r="K23" s="34">
        <v>0</v>
      </c>
      <c r="L23" s="34">
        <v>0</v>
      </c>
    </row>
    <row r="24" spans="1:12">
      <c r="A24" s="113" t="s">
        <v>717</v>
      </c>
      <c r="B24" s="65" t="s">
        <v>302</v>
      </c>
      <c r="C24" s="298" t="s">
        <v>716</v>
      </c>
      <c r="D24" s="34">
        <v>4000</v>
      </c>
      <c r="E24" s="34">
        <v>0</v>
      </c>
      <c r="F24" s="34">
        <v>0</v>
      </c>
      <c r="G24" s="34">
        <v>1</v>
      </c>
      <c r="H24" s="34">
        <v>0</v>
      </c>
      <c r="I24" s="34">
        <v>0</v>
      </c>
      <c r="J24" s="34">
        <v>1</v>
      </c>
      <c r="K24" s="34">
        <v>0</v>
      </c>
      <c r="L24" s="34">
        <v>0</v>
      </c>
    </row>
    <row r="25" spans="1:12">
      <c r="A25" s="113" t="s">
        <v>2184</v>
      </c>
      <c r="B25" s="65" t="s">
        <v>302</v>
      </c>
      <c r="C25" s="298" t="s">
        <v>718</v>
      </c>
      <c r="D25" s="34">
        <v>3200</v>
      </c>
      <c r="E25" s="34">
        <v>20.5</v>
      </c>
      <c r="F25" s="34">
        <v>0</v>
      </c>
      <c r="G25" s="34">
        <v>1</v>
      </c>
      <c r="H25" s="34">
        <v>1</v>
      </c>
      <c r="I25" s="34">
        <v>0</v>
      </c>
      <c r="J25" s="34">
        <v>1</v>
      </c>
      <c r="K25" s="34">
        <v>0</v>
      </c>
      <c r="L25" s="34">
        <v>1</v>
      </c>
    </row>
    <row r="26" spans="1:12">
      <c r="A26" s="113" t="s">
        <v>2188</v>
      </c>
      <c r="B26" s="65" t="s">
        <v>302</v>
      </c>
      <c r="C26" s="298" t="s">
        <v>722</v>
      </c>
      <c r="D26" s="34">
        <v>645.79999999999995</v>
      </c>
      <c r="E26" s="34">
        <v>0</v>
      </c>
      <c r="F26" s="34">
        <v>0</v>
      </c>
      <c r="G26" s="34">
        <v>1</v>
      </c>
      <c r="H26" s="34">
        <v>0</v>
      </c>
      <c r="I26" s="34">
        <v>0</v>
      </c>
      <c r="J26" s="34">
        <v>1</v>
      </c>
      <c r="K26" s="34">
        <v>1</v>
      </c>
      <c r="L26" s="34">
        <v>0</v>
      </c>
    </row>
    <row r="27" spans="1:12">
      <c r="A27" s="113" t="s">
        <v>2190</v>
      </c>
      <c r="B27" s="65" t="s">
        <v>302</v>
      </c>
      <c r="C27" s="298" t="s">
        <v>724</v>
      </c>
      <c r="D27" s="34">
        <v>154.19999999999999</v>
      </c>
      <c r="E27" s="34">
        <v>0</v>
      </c>
      <c r="F27" s="34">
        <v>54.1</v>
      </c>
      <c r="G27" s="34">
        <v>1</v>
      </c>
      <c r="H27" s="34">
        <v>0</v>
      </c>
      <c r="I27" s="34">
        <v>0</v>
      </c>
      <c r="J27" s="34">
        <v>1</v>
      </c>
      <c r="K27" s="34">
        <v>0</v>
      </c>
      <c r="L27" s="34">
        <v>0</v>
      </c>
    </row>
    <row r="28" spans="1:12">
      <c r="A28" s="113" t="s">
        <v>726</v>
      </c>
      <c r="B28" s="65" t="s">
        <v>302</v>
      </c>
      <c r="C28" s="298" t="s">
        <v>725</v>
      </c>
      <c r="D28" s="34">
        <v>500</v>
      </c>
      <c r="E28" s="34">
        <v>0</v>
      </c>
      <c r="F28" s="34">
        <v>0</v>
      </c>
      <c r="G28" s="34">
        <v>1</v>
      </c>
      <c r="H28" s="34">
        <v>0</v>
      </c>
      <c r="I28" s="34">
        <v>0</v>
      </c>
      <c r="J28" s="34">
        <v>0</v>
      </c>
      <c r="K28" s="34">
        <v>0</v>
      </c>
      <c r="L28" s="34">
        <v>0</v>
      </c>
    </row>
    <row r="29" spans="1:12">
      <c r="A29" s="113" t="s">
        <v>728</v>
      </c>
      <c r="B29" s="65" t="s">
        <v>302</v>
      </c>
      <c r="C29" s="298" t="s">
        <v>727</v>
      </c>
      <c r="D29" s="34">
        <v>400</v>
      </c>
      <c r="E29" s="34">
        <v>0</v>
      </c>
      <c r="F29" s="34">
        <v>0</v>
      </c>
      <c r="G29" s="34">
        <v>1</v>
      </c>
      <c r="H29" s="34">
        <v>0</v>
      </c>
      <c r="I29" s="34">
        <v>1</v>
      </c>
      <c r="J29" s="34">
        <v>11</v>
      </c>
      <c r="K29" s="34">
        <v>0</v>
      </c>
      <c r="L29" s="34">
        <v>0</v>
      </c>
    </row>
    <row r="30" spans="1:12">
      <c r="A30" s="113" t="s">
        <v>732</v>
      </c>
      <c r="B30" s="65" t="s">
        <v>302</v>
      </c>
      <c r="C30" s="298" t="s">
        <v>731</v>
      </c>
      <c r="D30" s="34">
        <v>100</v>
      </c>
      <c r="E30" s="34">
        <v>0</v>
      </c>
      <c r="F30" s="34">
        <v>0</v>
      </c>
      <c r="G30" s="34">
        <v>1</v>
      </c>
      <c r="H30" s="34">
        <v>0</v>
      </c>
      <c r="I30" s="34">
        <v>0</v>
      </c>
      <c r="J30" s="34">
        <v>1</v>
      </c>
      <c r="K30" s="34">
        <v>0</v>
      </c>
      <c r="L30" s="34">
        <v>0</v>
      </c>
    </row>
    <row r="31" spans="1:12">
      <c r="A31" s="113" t="s">
        <v>511</v>
      </c>
      <c r="B31" s="65" t="s">
        <v>302</v>
      </c>
      <c r="C31" s="298" t="s">
        <v>510</v>
      </c>
      <c r="D31" s="34">
        <v>254.8</v>
      </c>
      <c r="E31" s="34">
        <v>0</v>
      </c>
      <c r="F31" s="34">
        <v>254.8</v>
      </c>
      <c r="G31" s="34">
        <v>1</v>
      </c>
      <c r="H31" s="34">
        <v>0</v>
      </c>
      <c r="I31" s="34">
        <v>0</v>
      </c>
      <c r="J31" s="34">
        <v>1</v>
      </c>
      <c r="K31" s="34">
        <v>0</v>
      </c>
      <c r="L31" s="34">
        <v>0</v>
      </c>
    </row>
    <row r="32" spans="1:12">
      <c r="A32" s="61" t="s">
        <v>59</v>
      </c>
      <c r="B32" s="62"/>
      <c r="C32" s="297"/>
      <c r="D32" s="62"/>
      <c r="E32" s="62"/>
      <c r="F32" s="62"/>
      <c r="G32" s="62"/>
      <c r="H32" s="62"/>
      <c r="I32" s="62"/>
      <c r="J32" s="62"/>
      <c r="K32" s="62"/>
      <c r="L32" s="29"/>
    </row>
    <row r="33" spans="1:12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</row>
    <row r="34" spans="1:12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</row>
    <row r="35" spans="1:12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</row>
    <row r="36" spans="1:12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</row>
    <row r="37" spans="1:12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</row>
    <row r="38" spans="1:12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</row>
    <row r="39" spans="1:12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</row>
    <row r="40" spans="1:12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</row>
    <row r="41" spans="1:12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</row>
    <row r="42" spans="1:12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</row>
    <row r="43" spans="1:12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</row>
    <row r="44" spans="1:12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</row>
    <row r="45" spans="1:12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</row>
    <row r="46" spans="1:12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</row>
    <row r="47" spans="1:12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</row>
    <row r="48" spans="1:12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</row>
    <row r="49" spans="1:12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</row>
  </sheetData>
  <sheetProtection sheet="1" objects="1" scenarios="1"/>
  <mergeCells count="9">
    <mergeCell ref="A1:L1"/>
    <mergeCell ref="A2:L2"/>
    <mergeCell ref="A3:A5"/>
    <mergeCell ref="B3:B5"/>
    <mergeCell ref="C3:C5"/>
    <mergeCell ref="D3:L3"/>
    <mergeCell ref="D4:F4"/>
    <mergeCell ref="G4:I4"/>
    <mergeCell ref="J4:L4"/>
  </mergeCells>
  <dataValidations count="5">
    <dataValidation type="decimal" operator="lessThanOrEqual" allowBlank="1" showInputMessage="1" showErrorMessage="1" sqref="K9:K31 H9:H31 E9:E31">
      <formula1>D9</formula1>
    </dataValidation>
    <dataValidation type="decimal" operator="lessThanOrEqual" allowBlank="1" showInputMessage="1" showErrorMessage="1" errorTitle="ошибка" error="графа 3 не может быть больше, чем разница графы 1-графа 2 (готовая продукция)" sqref="F9:F31">
      <formula1>D9-E9</formula1>
    </dataValidation>
    <dataValidation type="decimal" operator="greaterThanOrEqual" allowBlank="1" showInputMessage="1" showErrorMessage="1" sqref="J9:J31 G9:G31 D9:D31">
      <formula1>E9</formula1>
    </dataValidation>
    <dataValidation type="decimal" operator="lessThanOrEqual" allowBlank="1" showInputMessage="1" showErrorMessage="1" errorTitle="ошибка" error="графа 6 не может быть больше, чем разница графы 4 - графа 5 (готовая продукция" sqref="I9:I31">
      <formula1>G9-H9</formula1>
    </dataValidation>
    <dataValidation type="decimal" operator="lessThanOrEqual" allowBlank="1" showInputMessage="1" showErrorMessage="1" errorTitle="ошибка" error="рафа 9 не может быть больше, чем разница графы 7 - графа 8 (готовая продукция" sqref="L9:L31">
      <formula1>J9-K9</formula1>
    </dataValidation>
  </dataValidations>
  <pageMargins left="0.31496062992125984" right="0.31496062992125984" top="0.35433070866141736" bottom="0.35433070866141736" header="0.31496062992125984" footer="0.31496062992125984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70"/>
  <sheetViews>
    <sheetView zoomScale="145" zoomScaleNormal="145" workbookViewId="0">
      <selection activeCell="C1099" sqref="C1099"/>
    </sheetView>
  </sheetViews>
  <sheetFormatPr defaultRowHeight="15"/>
  <cols>
    <col min="1" max="1" width="6" customWidth="1"/>
    <col min="2" max="2" width="11.140625" customWidth="1"/>
    <col min="3" max="3" width="65.5703125" customWidth="1"/>
    <col min="4" max="4" width="10.5703125" customWidth="1"/>
  </cols>
  <sheetData>
    <row r="1" spans="1:4">
      <c r="B1" s="70" t="s">
        <v>342</v>
      </c>
      <c r="C1" s="70" t="s">
        <v>343</v>
      </c>
      <c r="D1" s="70" t="s">
        <v>344</v>
      </c>
    </row>
    <row r="2" spans="1:4" ht="12" customHeight="1">
      <c r="A2" s="71"/>
      <c r="B2" s="72"/>
      <c r="C2" s="73" t="s">
        <v>301</v>
      </c>
      <c r="D2" s="74"/>
    </row>
    <row r="3" spans="1:4" ht="12" customHeight="1">
      <c r="A3" s="114" t="s">
        <v>71</v>
      </c>
      <c r="B3" s="299" t="s">
        <v>2176</v>
      </c>
      <c r="C3" s="115" t="s">
        <v>2177</v>
      </c>
      <c r="D3" s="75" t="s">
        <v>302</v>
      </c>
    </row>
    <row r="4" spans="1:4" ht="12" customHeight="1">
      <c r="A4" s="114" t="s">
        <v>71</v>
      </c>
      <c r="B4" s="300" t="s">
        <v>303</v>
      </c>
      <c r="C4" s="115" t="s">
        <v>2178</v>
      </c>
      <c r="D4" s="75" t="s">
        <v>302</v>
      </c>
    </row>
    <row r="5" spans="1:4" ht="12" customHeight="1">
      <c r="A5" s="114" t="s">
        <v>71</v>
      </c>
      <c r="B5" s="315" t="s">
        <v>2179</v>
      </c>
      <c r="C5" s="115" t="s">
        <v>2180</v>
      </c>
      <c r="D5" s="75" t="s">
        <v>302</v>
      </c>
    </row>
    <row r="6" spans="1:4" ht="12" customHeight="1">
      <c r="A6" s="114" t="s">
        <v>71</v>
      </c>
      <c r="B6" s="299" t="s">
        <v>305</v>
      </c>
      <c r="C6" s="115" t="s">
        <v>304</v>
      </c>
      <c r="D6" s="75" t="s">
        <v>302</v>
      </c>
    </row>
    <row r="7" spans="1:4" ht="12" customHeight="1">
      <c r="A7" s="114" t="s">
        <v>71</v>
      </c>
      <c r="B7" s="124" t="s">
        <v>2181</v>
      </c>
      <c r="C7" s="115" t="s">
        <v>2182</v>
      </c>
      <c r="D7" s="75" t="s">
        <v>302</v>
      </c>
    </row>
    <row r="8" spans="1:4" ht="12" customHeight="1">
      <c r="A8" s="114" t="s">
        <v>71</v>
      </c>
      <c r="B8" s="116" t="s">
        <v>1998</v>
      </c>
      <c r="C8" s="115" t="s">
        <v>345</v>
      </c>
      <c r="D8" s="75" t="s">
        <v>346</v>
      </c>
    </row>
    <row r="9" spans="1:4" ht="12" customHeight="1">
      <c r="A9" s="114" t="s">
        <v>71</v>
      </c>
      <c r="B9" s="116" t="s">
        <v>1999</v>
      </c>
      <c r="C9" s="115" t="s">
        <v>347</v>
      </c>
      <c r="D9" s="75" t="s">
        <v>346</v>
      </c>
    </row>
    <row r="10" spans="1:4" ht="12" customHeight="1">
      <c r="A10" s="114" t="s">
        <v>71</v>
      </c>
      <c r="B10" s="116" t="s">
        <v>2000</v>
      </c>
      <c r="C10" s="115" t="s">
        <v>348</v>
      </c>
      <c r="D10" s="75" t="s">
        <v>346</v>
      </c>
    </row>
    <row r="11" spans="1:4" ht="12" customHeight="1">
      <c r="A11" s="114" t="s">
        <v>71</v>
      </c>
      <c r="B11" s="116" t="s">
        <v>2001</v>
      </c>
      <c r="C11" s="115" t="s">
        <v>349</v>
      </c>
      <c r="D11" s="75" t="s">
        <v>346</v>
      </c>
    </row>
    <row r="12" spans="1:4" ht="12" customHeight="1">
      <c r="A12" s="114" t="s">
        <v>71</v>
      </c>
      <c r="B12" s="117"/>
      <c r="C12" s="117"/>
      <c r="D12" s="76"/>
    </row>
    <row r="13" spans="1:4" ht="12" customHeight="1">
      <c r="A13" s="114" t="s">
        <v>71</v>
      </c>
      <c r="B13" s="301"/>
      <c r="C13" s="118"/>
      <c r="D13" s="77"/>
    </row>
    <row r="14" spans="1:4" ht="12" customHeight="1">
      <c r="A14" s="114" t="s">
        <v>71</v>
      </c>
      <c r="B14" s="301"/>
      <c r="C14" s="118"/>
      <c r="D14" s="77"/>
    </row>
    <row r="15" spans="1:4" ht="12" customHeight="1">
      <c r="A15" s="114"/>
      <c r="B15" s="116"/>
      <c r="C15" s="96" t="s">
        <v>350</v>
      </c>
      <c r="D15" s="75"/>
    </row>
    <row r="16" spans="1:4" ht="12" customHeight="1">
      <c r="A16" s="114" t="s">
        <v>73</v>
      </c>
      <c r="B16" s="301"/>
      <c r="C16" s="118"/>
      <c r="D16" s="77"/>
    </row>
    <row r="17" spans="1:4" ht="12" customHeight="1">
      <c r="A17" s="114" t="s">
        <v>73</v>
      </c>
      <c r="B17" s="301"/>
      <c r="C17" s="118"/>
      <c r="D17" s="77"/>
    </row>
    <row r="18" spans="1:4" ht="12" customHeight="1">
      <c r="A18" s="114" t="s">
        <v>73</v>
      </c>
      <c r="B18" s="301"/>
      <c r="C18" s="118"/>
      <c r="D18" s="77"/>
    </row>
    <row r="19" spans="1:4" ht="12" customHeight="1">
      <c r="A19" s="114"/>
      <c r="B19" s="119"/>
      <c r="C19" s="120" t="s">
        <v>75</v>
      </c>
      <c r="D19" s="78"/>
    </row>
    <row r="20" spans="1:4" ht="12" customHeight="1">
      <c r="A20" s="114" t="s">
        <v>351</v>
      </c>
      <c r="B20" s="301"/>
      <c r="C20" s="118"/>
      <c r="D20" s="75" t="s">
        <v>714</v>
      </c>
    </row>
    <row r="21" spans="1:4" ht="12" customHeight="1">
      <c r="A21" s="114" t="s">
        <v>351</v>
      </c>
      <c r="B21" s="301"/>
      <c r="C21" s="118"/>
      <c r="D21" s="75" t="s">
        <v>714</v>
      </c>
    </row>
    <row r="22" spans="1:4" ht="12" customHeight="1">
      <c r="A22" s="114" t="s">
        <v>351</v>
      </c>
      <c r="B22" s="301"/>
      <c r="C22" s="118"/>
      <c r="D22" s="75" t="s">
        <v>714</v>
      </c>
    </row>
    <row r="23" spans="1:4" ht="12" customHeight="1">
      <c r="A23" s="114"/>
      <c r="B23" s="119"/>
      <c r="C23" s="121" t="s">
        <v>352</v>
      </c>
      <c r="D23" s="78"/>
    </row>
    <row r="24" spans="1:4" ht="12" customHeight="1">
      <c r="A24" s="114" t="s">
        <v>76</v>
      </c>
      <c r="B24" s="119"/>
      <c r="C24" s="121" t="s">
        <v>306</v>
      </c>
      <c r="D24" s="78"/>
    </row>
    <row r="25" spans="1:4" ht="12" customHeight="1">
      <c r="A25" s="114" t="s">
        <v>76</v>
      </c>
      <c r="B25" s="122" t="s">
        <v>353</v>
      </c>
      <c r="C25" s="123" t="s">
        <v>2158</v>
      </c>
      <c r="D25" s="79" t="s">
        <v>302</v>
      </c>
    </row>
    <row r="26" spans="1:4" ht="12" customHeight="1">
      <c r="A26" s="114" t="s">
        <v>76</v>
      </c>
      <c r="B26" s="124" t="s">
        <v>307</v>
      </c>
      <c r="C26" s="115" t="s">
        <v>354</v>
      </c>
      <c r="D26" s="75" t="s">
        <v>302</v>
      </c>
    </row>
    <row r="27" spans="1:4" ht="12" customHeight="1">
      <c r="A27" s="114" t="s">
        <v>76</v>
      </c>
      <c r="B27" s="124" t="s">
        <v>308</v>
      </c>
      <c r="C27" s="115" t="s">
        <v>355</v>
      </c>
      <c r="D27" s="75" t="s">
        <v>302</v>
      </c>
    </row>
    <row r="28" spans="1:4" ht="12" customHeight="1">
      <c r="A28" s="114" t="s">
        <v>76</v>
      </c>
      <c r="B28" s="124" t="s">
        <v>356</v>
      </c>
      <c r="C28" s="115" t="s">
        <v>357</v>
      </c>
      <c r="D28" s="75" t="s">
        <v>302</v>
      </c>
    </row>
    <row r="29" spans="1:4" ht="12" customHeight="1">
      <c r="A29" s="114" t="s">
        <v>76</v>
      </c>
      <c r="B29" s="124" t="s">
        <v>358</v>
      </c>
      <c r="C29" s="115" t="s">
        <v>359</v>
      </c>
      <c r="D29" s="75" t="s">
        <v>302</v>
      </c>
    </row>
    <row r="30" spans="1:4" ht="12" customHeight="1">
      <c r="A30" s="114" t="s">
        <v>76</v>
      </c>
      <c r="B30" s="124" t="s">
        <v>360</v>
      </c>
      <c r="C30" s="115" t="s">
        <v>361</v>
      </c>
      <c r="D30" s="75" t="s">
        <v>302</v>
      </c>
    </row>
    <row r="31" spans="1:4" ht="12" customHeight="1">
      <c r="A31" s="114" t="s">
        <v>76</v>
      </c>
      <c r="B31" s="124" t="s">
        <v>362</v>
      </c>
      <c r="C31" s="115" t="s">
        <v>363</v>
      </c>
      <c r="D31" s="75" t="s">
        <v>302</v>
      </c>
    </row>
    <row r="32" spans="1:4" ht="12" customHeight="1">
      <c r="A32" s="114" t="s">
        <v>76</v>
      </c>
      <c r="B32" s="124" t="s">
        <v>364</v>
      </c>
      <c r="C32" s="115" t="s">
        <v>365</v>
      </c>
      <c r="D32" s="75" t="s">
        <v>302</v>
      </c>
    </row>
    <row r="33" spans="1:4" ht="12" customHeight="1">
      <c r="A33" s="114" t="s">
        <v>76</v>
      </c>
      <c r="B33" s="124" t="s">
        <v>366</v>
      </c>
      <c r="C33" s="115" t="s">
        <v>367</v>
      </c>
      <c r="D33" s="75" t="s">
        <v>302</v>
      </c>
    </row>
    <row r="34" spans="1:4" ht="12" customHeight="1">
      <c r="A34" s="114" t="s">
        <v>76</v>
      </c>
      <c r="B34" s="124" t="s">
        <v>368</v>
      </c>
      <c r="C34" s="115" t="s">
        <v>369</v>
      </c>
      <c r="D34" s="75" t="s">
        <v>302</v>
      </c>
    </row>
    <row r="35" spans="1:4" ht="12" customHeight="1">
      <c r="A35" s="114" t="s">
        <v>76</v>
      </c>
      <c r="B35" s="125" t="s">
        <v>370</v>
      </c>
      <c r="C35" s="126" t="s">
        <v>371</v>
      </c>
      <c r="D35" s="75" t="s">
        <v>302</v>
      </c>
    </row>
    <row r="36" spans="1:4" ht="12" customHeight="1">
      <c r="A36" s="114" t="s">
        <v>76</v>
      </c>
      <c r="B36" s="125" t="s">
        <v>372</v>
      </c>
      <c r="C36" s="126" t="s">
        <v>373</v>
      </c>
      <c r="D36" s="75" t="s">
        <v>302</v>
      </c>
    </row>
    <row r="37" spans="1:4" ht="12" customHeight="1">
      <c r="A37" s="114" t="s">
        <v>76</v>
      </c>
      <c r="B37" s="125" t="s">
        <v>374</v>
      </c>
      <c r="C37" s="126" t="s">
        <v>375</v>
      </c>
      <c r="D37" s="75" t="s">
        <v>302</v>
      </c>
    </row>
    <row r="38" spans="1:4" ht="12" customHeight="1">
      <c r="A38" s="114" t="s">
        <v>76</v>
      </c>
      <c r="B38" s="125" t="s">
        <v>376</v>
      </c>
      <c r="C38" s="126" t="s">
        <v>377</v>
      </c>
      <c r="D38" s="75" t="s">
        <v>302</v>
      </c>
    </row>
    <row r="39" spans="1:4" ht="12" customHeight="1">
      <c r="A39" s="114" t="s">
        <v>76</v>
      </c>
      <c r="B39" s="125" t="s">
        <v>378</v>
      </c>
      <c r="C39" s="126" t="s">
        <v>379</v>
      </c>
      <c r="D39" s="75" t="s">
        <v>302</v>
      </c>
    </row>
    <row r="40" spans="1:4" ht="12" customHeight="1">
      <c r="A40" s="114" t="s">
        <v>76</v>
      </c>
      <c r="B40" s="125" t="s">
        <v>380</v>
      </c>
      <c r="C40" s="126" t="s">
        <v>381</v>
      </c>
      <c r="D40" s="75" t="s">
        <v>302</v>
      </c>
    </row>
    <row r="41" spans="1:4" ht="12" customHeight="1">
      <c r="A41" s="114" t="s">
        <v>76</v>
      </c>
      <c r="B41" s="124" t="s">
        <v>382</v>
      </c>
      <c r="C41" s="115" t="s">
        <v>383</v>
      </c>
      <c r="D41" s="75" t="s">
        <v>311</v>
      </c>
    </row>
    <row r="42" spans="1:4" ht="12" customHeight="1">
      <c r="A42" s="114" t="s">
        <v>76</v>
      </c>
      <c r="B42" s="124" t="s">
        <v>384</v>
      </c>
      <c r="C42" s="115" t="s">
        <v>385</v>
      </c>
      <c r="D42" s="75" t="s">
        <v>311</v>
      </c>
    </row>
    <row r="43" spans="1:4" ht="12" customHeight="1">
      <c r="A43" s="114" t="s">
        <v>76</v>
      </c>
      <c r="B43" s="124" t="s">
        <v>386</v>
      </c>
      <c r="C43" s="115" t="s">
        <v>387</v>
      </c>
      <c r="D43" s="75" t="s">
        <v>302</v>
      </c>
    </row>
    <row r="44" spans="1:4" ht="12" customHeight="1">
      <c r="A44" s="114" t="s">
        <v>76</v>
      </c>
      <c r="B44" s="124" t="s">
        <v>388</v>
      </c>
      <c r="C44" s="115" t="s">
        <v>389</v>
      </c>
      <c r="D44" s="75" t="s">
        <v>302</v>
      </c>
    </row>
    <row r="45" spans="1:4" ht="12" customHeight="1">
      <c r="A45" s="114" t="s">
        <v>76</v>
      </c>
      <c r="B45" s="124" t="s">
        <v>390</v>
      </c>
      <c r="C45" s="127" t="s">
        <v>391</v>
      </c>
      <c r="D45" s="75" t="s">
        <v>302</v>
      </c>
    </row>
    <row r="46" spans="1:4" ht="12" customHeight="1">
      <c r="A46" s="114" t="s">
        <v>76</v>
      </c>
      <c r="B46" s="124" t="s">
        <v>392</v>
      </c>
      <c r="C46" s="115" t="s">
        <v>393</v>
      </c>
      <c r="D46" s="75" t="s">
        <v>302</v>
      </c>
    </row>
    <row r="47" spans="1:4" ht="12" customHeight="1">
      <c r="A47" s="114" t="s">
        <v>76</v>
      </c>
      <c r="B47" s="124" t="s">
        <v>394</v>
      </c>
      <c r="C47" s="128" t="s">
        <v>395</v>
      </c>
      <c r="D47" s="75" t="s">
        <v>311</v>
      </c>
    </row>
    <row r="48" spans="1:4" ht="12" customHeight="1">
      <c r="A48" s="114" t="s">
        <v>76</v>
      </c>
      <c r="B48" s="124" t="s">
        <v>396</v>
      </c>
      <c r="C48" s="115" t="s">
        <v>397</v>
      </c>
      <c r="D48" s="80" t="s">
        <v>302</v>
      </c>
    </row>
    <row r="49" spans="1:4" ht="12" customHeight="1">
      <c r="A49" s="114" t="s">
        <v>76</v>
      </c>
      <c r="B49" s="124" t="s">
        <v>398</v>
      </c>
      <c r="C49" s="115" t="s">
        <v>399</v>
      </c>
      <c r="D49" s="75" t="s">
        <v>302</v>
      </c>
    </row>
    <row r="50" spans="1:4" ht="12" customHeight="1">
      <c r="A50" s="114" t="s">
        <v>76</v>
      </c>
      <c r="B50" s="116" t="s">
        <v>400</v>
      </c>
      <c r="C50" s="115" t="s">
        <v>401</v>
      </c>
      <c r="D50" s="129" t="s">
        <v>302</v>
      </c>
    </row>
    <row r="51" spans="1:4" ht="12" customHeight="1">
      <c r="A51" s="114" t="s">
        <v>76</v>
      </c>
      <c r="B51" s="116" t="s">
        <v>402</v>
      </c>
      <c r="C51" s="115" t="s">
        <v>403</v>
      </c>
      <c r="D51" s="75" t="s">
        <v>302</v>
      </c>
    </row>
    <row r="52" spans="1:4" ht="12" customHeight="1">
      <c r="A52" s="114" t="s">
        <v>76</v>
      </c>
      <c r="B52" s="116" t="s">
        <v>404</v>
      </c>
      <c r="C52" s="127" t="s">
        <v>405</v>
      </c>
      <c r="D52" s="81" t="s">
        <v>302</v>
      </c>
    </row>
    <row r="53" spans="1:4" ht="12" customHeight="1">
      <c r="A53" s="114" t="s">
        <v>76</v>
      </c>
      <c r="B53" s="116" t="s">
        <v>406</v>
      </c>
      <c r="C53" s="115" t="s">
        <v>407</v>
      </c>
      <c r="D53" s="75" t="s">
        <v>302</v>
      </c>
    </row>
    <row r="54" spans="1:4" ht="12" customHeight="1">
      <c r="A54" s="114" t="s">
        <v>76</v>
      </c>
      <c r="B54" s="116" t="s">
        <v>408</v>
      </c>
      <c r="C54" s="115" t="s">
        <v>409</v>
      </c>
      <c r="D54" s="81" t="s">
        <v>302</v>
      </c>
    </row>
    <row r="55" spans="1:4" ht="12" customHeight="1">
      <c r="A55" s="114" t="s">
        <v>76</v>
      </c>
      <c r="B55" s="116" t="s">
        <v>410</v>
      </c>
      <c r="C55" s="115" t="s">
        <v>411</v>
      </c>
      <c r="D55" s="81" t="s">
        <v>302</v>
      </c>
    </row>
    <row r="56" spans="1:4" ht="12" customHeight="1">
      <c r="A56" s="114" t="s">
        <v>76</v>
      </c>
      <c r="B56" s="116" t="s">
        <v>412</v>
      </c>
      <c r="C56" s="115" t="s">
        <v>413</v>
      </c>
      <c r="D56" s="75" t="s">
        <v>302</v>
      </c>
    </row>
    <row r="57" spans="1:4" ht="12" customHeight="1">
      <c r="A57" s="114" t="s">
        <v>76</v>
      </c>
      <c r="B57" s="116" t="s">
        <v>414</v>
      </c>
      <c r="C57" s="128" t="s">
        <v>415</v>
      </c>
      <c r="D57" s="75" t="s">
        <v>302</v>
      </c>
    </row>
    <row r="58" spans="1:4" ht="12" customHeight="1">
      <c r="A58" s="114" t="s">
        <v>76</v>
      </c>
      <c r="B58" s="116" t="s">
        <v>416</v>
      </c>
      <c r="C58" s="115" t="s">
        <v>417</v>
      </c>
      <c r="D58" s="82" t="s">
        <v>302</v>
      </c>
    </row>
    <row r="59" spans="1:4" ht="12" customHeight="1">
      <c r="A59" s="114" t="s">
        <v>76</v>
      </c>
      <c r="B59" s="116" t="s">
        <v>418</v>
      </c>
      <c r="C59" s="115" t="s">
        <v>419</v>
      </c>
      <c r="D59" s="82" t="s">
        <v>302</v>
      </c>
    </row>
    <row r="60" spans="1:4" ht="12" customHeight="1">
      <c r="A60" s="114" t="s">
        <v>76</v>
      </c>
      <c r="B60" s="116" t="s">
        <v>420</v>
      </c>
      <c r="C60" s="115" t="s">
        <v>421</v>
      </c>
      <c r="D60" s="82" t="s">
        <v>302</v>
      </c>
    </row>
    <row r="61" spans="1:4" ht="12" customHeight="1">
      <c r="A61" s="114" t="s">
        <v>76</v>
      </c>
      <c r="B61" s="116" t="s">
        <v>422</v>
      </c>
      <c r="C61" s="115" t="s">
        <v>423</v>
      </c>
      <c r="D61" s="82" t="s">
        <v>302</v>
      </c>
    </row>
    <row r="62" spans="1:4" ht="12" customHeight="1">
      <c r="A62" s="114" t="s">
        <v>76</v>
      </c>
      <c r="B62" s="116" t="s">
        <v>424</v>
      </c>
      <c r="C62" s="115" t="s">
        <v>425</v>
      </c>
      <c r="D62" s="75" t="s">
        <v>302</v>
      </c>
    </row>
    <row r="63" spans="1:4" ht="12" customHeight="1">
      <c r="A63" s="114" t="s">
        <v>76</v>
      </c>
      <c r="B63" s="116" t="s">
        <v>426</v>
      </c>
      <c r="C63" s="115" t="s">
        <v>427</v>
      </c>
      <c r="D63" s="75" t="s">
        <v>302</v>
      </c>
    </row>
    <row r="64" spans="1:4" ht="12" customHeight="1">
      <c r="A64" s="114" t="s">
        <v>76</v>
      </c>
      <c r="B64" s="116" t="s">
        <v>428</v>
      </c>
      <c r="C64" s="115" t="s">
        <v>429</v>
      </c>
      <c r="D64" s="75" t="s">
        <v>302</v>
      </c>
    </row>
    <row r="65" spans="1:4" ht="12" customHeight="1">
      <c r="A65" s="114" t="s">
        <v>76</v>
      </c>
      <c r="B65" s="116" t="s">
        <v>430</v>
      </c>
      <c r="C65" s="115" t="s">
        <v>431</v>
      </c>
      <c r="D65" s="75" t="s">
        <v>302</v>
      </c>
    </row>
    <row r="66" spans="1:4" ht="12" customHeight="1">
      <c r="A66" s="114" t="s">
        <v>76</v>
      </c>
      <c r="B66" s="116" t="s">
        <v>432</v>
      </c>
      <c r="C66" s="115" t="s">
        <v>433</v>
      </c>
      <c r="D66" s="75" t="s">
        <v>302</v>
      </c>
    </row>
    <row r="67" spans="1:4" ht="12" customHeight="1">
      <c r="A67" s="114" t="s">
        <v>76</v>
      </c>
      <c r="B67" s="116" t="s">
        <v>434</v>
      </c>
      <c r="C67" s="127" t="s">
        <v>435</v>
      </c>
      <c r="D67" s="75" t="s">
        <v>302</v>
      </c>
    </row>
    <row r="68" spans="1:4" ht="12" customHeight="1">
      <c r="A68" s="114" t="s">
        <v>76</v>
      </c>
      <c r="B68" s="116" t="s">
        <v>436</v>
      </c>
      <c r="C68" s="115" t="s">
        <v>437</v>
      </c>
      <c r="D68" s="75" t="s">
        <v>302</v>
      </c>
    </row>
    <row r="69" spans="1:4" ht="12" customHeight="1">
      <c r="A69" s="114" t="s">
        <v>76</v>
      </c>
      <c r="B69" s="116" t="s">
        <v>438</v>
      </c>
      <c r="C69" s="115" t="s">
        <v>439</v>
      </c>
      <c r="D69" s="75" t="s">
        <v>302</v>
      </c>
    </row>
    <row r="70" spans="1:4" ht="12" customHeight="1">
      <c r="A70" s="114" t="s">
        <v>76</v>
      </c>
      <c r="B70" s="116" t="s">
        <v>440</v>
      </c>
      <c r="C70" s="115" t="s">
        <v>441</v>
      </c>
      <c r="D70" s="82" t="s">
        <v>302</v>
      </c>
    </row>
    <row r="71" spans="1:4" ht="12" customHeight="1">
      <c r="A71" s="114" t="s">
        <v>76</v>
      </c>
      <c r="B71" s="130" t="s">
        <v>442</v>
      </c>
      <c r="C71" s="97" t="s">
        <v>443</v>
      </c>
      <c r="D71" s="75" t="s">
        <v>302</v>
      </c>
    </row>
    <row r="72" spans="1:4" ht="12" customHeight="1">
      <c r="A72" s="114" t="s">
        <v>76</v>
      </c>
      <c r="B72" s="130" t="s">
        <v>444</v>
      </c>
      <c r="C72" s="97" t="s">
        <v>445</v>
      </c>
      <c r="D72" s="75" t="s">
        <v>302</v>
      </c>
    </row>
    <row r="73" spans="1:4" ht="12" customHeight="1">
      <c r="A73" s="114" t="s">
        <v>76</v>
      </c>
      <c r="B73" s="130" t="s">
        <v>446</v>
      </c>
      <c r="C73" s="97" t="s">
        <v>447</v>
      </c>
      <c r="D73" s="75" t="s">
        <v>302</v>
      </c>
    </row>
    <row r="74" spans="1:4" ht="12" customHeight="1">
      <c r="A74" s="114" t="s">
        <v>76</v>
      </c>
      <c r="B74" s="130" t="s">
        <v>448</v>
      </c>
      <c r="C74" s="97" t="s">
        <v>449</v>
      </c>
      <c r="D74" s="75" t="s">
        <v>302</v>
      </c>
    </row>
    <row r="75" spans="1:4" ht="12" customHeight="1">
      <c r="A75" s="114" t="s">
        <v>76</v>
      </c>
      <c r="B75" s="116" t="s">
        <v>450</v>
      </c>
      <c r="C75" s="115" t="s">
        <v>451</v>
      </c>
      <c r="D75" s="82" t="s">
        <v>302</v>
      </c>
    </row>
    <row r="76" spans="1:4" ht="25.5" customHeight="1">
      <c r="A76" s="114" t="s">
        <v>76</v>
      </c>
      <c r="B76" s="116" t="s">
        <v>452</v>
      </c>
      <c r="C76" s="115" t="s">
        <v>2167</v>
      </c>
      <c r="D76" s="84" t="s">
        <v>302</v>
      </c>
    </row>
    <row r="77" spans="1:4" ht="12" customHeight="1">
      <c r="A77" s="114" t="s">
        <v>76</v>
      </c>
      <c r="B77" s="116" t="s">
        <v>453</v>
      </c>
      <c r="C77" s="115" t="s">
        <v>454</v>
      </c>
      <c r="D77" s="75" t="s">
        <v>302</v>
      </c>
    </row>
    <row r="78" spans="1:4" ht="12" customHeight="1">
      <c r="A78" s="114" t="s">
        <v>76</v>
      </c>
      <c r="B78" s="116" t="s">
        <v>455</v>
      </c>
      <c r="C78" s="115" t="s">
        <v>456</v>
      </c>
      <c r="D78" s="75" t="s">
        <v>302</v>
      </c>
    </row>
    <row r="79" spans="1:4" ht="12" customHeight="1">
      <c r="A79" s="114" t="s">
        <v>76</v>
      </c>
      <c r="B79" s="116" t="s">
        <v>457</v>
      </c>
      <c r="C79" s="115" t="s">
        <v>458</v>
      </c>
      <c r="D79" s="75" t="s">
        <v>302</v>
      </c>
    </row>
    <row r="80" spans="1:4" ht="12" customHeight="1">
      <c r="A80" s="114" t="s">
        <v>76</v>
      </c>
      <c r="B80" s="116" t="s">
        <v>459</v>
      </c>
      <c r="C80" s="115" t="s">
        <v>460</v>
      </c>
      <c r="D80" s="75" t="s">
        <v>302</v>
      </c>
    </row>
    <row r="81" spans="1:4" ht="12" customHeight="1">
      <c r="A81" s="114" t="s">
        <v>76</v>
      </c>
      <c r="B81" s="116" t="s">
        <v>461</v>
      </c>
      <c r="C81" s="126" t="s">
        <v>462</v>
      </c>
      <c r="D81" s="75" t="s">
        <v>302</v>
      </c>
    </row>
    <row r="82" spans="1:4" ht="12" customHeight="1">
      <c r="A82" s="114" t="s">
        <v>76</v>
      </c>
      <c r="B82" s="116" t="s">
        <v>463</v>
      </c>
      <c r="C82" s="115" t="s">
        <v>464</v>
      </c>
      <c r="D82" s="75" t="s">
        <v>302</v>
      </c>
    </row>
    <row r="83" spans="1:4" ht="12" customHeight="1">
      <c r="A83" s="114" t="s">
        <v>76</v>
      </c>
      <c r="B83" s="116" t="s">
        <v>465</v>
      </c>
      <c r="C83" s="115" t="s">
        <v>466</v>
      </c>
      <c r="D83" s="75" t="s">
        <v>302</v>
      </c>
    </row>
    <row r="84" spans="1:4" ht="12" customHeight="1">
      <c r="A84" s="114" t="s">
        <v>76</v>
      </c>
      <c r="B84" s="116" t="s">
        <v>467</v>
      </c>
      <c r="C84" s="115" t="s">
        <v>468</v>
      </c>
      <c r="D84" s="75" t="s">
        <v>302</v>
      </c>
    </row>
    <row r="85" spans="1:4" ht="12" customHeight="1">
      <c r="A85" s="114" t="s">
        <v>76</v>
      </c>
      <c r="B85" s="116" t="s">
        <v>469</v>
      </c>
      <c r="C85" s="115" t="s">
        <v>470</v>
      </c>
      <c r="D85" s="84" t="s">
        <v>302</v>
      </c>
    </row>
    <row r="86" spans="1:4" ht="12" customHeight="1">
      <c r="A86" s="114" t="s">
        <v>76</v>
      </c>
      <c r="B86" s="116" t="s">
        <v>471</v>
      </c>
      <c r="C86" s="115" t="s">
        <v>472</v>
      </c>
      <c r="D86" s="75" t="s">
        <v>302</v>
      </c>
    </row>
    <row r="87" spans="1:4" ht="24" customHeight="1">
      <c r="A87" s="114" t="s">
        <v>76</v>
      </c>
      <c r="B87" s="116" t="s">
        <v>473</v>
      </c>
      <c r="C87" s="85" t="s">
        <v>474</v>
      </c>
      <c r="D87" s="84" t="s">
        <v>302</v>
      </c>
    </row>
    <row r="88" spans="1:4" ht="12" customHeight="1">
      <c r="A88" s="114" t="s">
        <v>76</v>
      </c>
      <c r="B88" s="116" t="s">
        <v>475</v>
      </c>
      <c r="C88" s="115" t="s">
        <v>476</v>
      </c>
      <c r="D88" s="66" t="s">
        <v>328</v>
      </c>
    </row>
    <row r="89" spans="1:4" ht="12" customHeight="1">
      <c r="A89" s="114" t="s">
        <v>76</v>
      </c>
      <c r="B89" s="116" t="s">
        <v>477</v>
      </c>
      <c r="C89" s="115" t="s">
        <v>478</v>
      </c>
      <c r="D89" s="66" t="s">
        <v>328</v>
      </c>
    </row>
    <row r="90" spans="1:4" ht="12" customHeight="1">
      <c r="A90" s="114" t="s">
        <v>76</v>
      </c>
      <c r="B90" s="116" t="s">
        <v>479</v>
      </c>
      <c r="C90" s="115" t="s">
        <v>480</v>
      </c>
      <c r="D90" s="66" t="s">
        <v>328</v>
      </c>
    </row>
    <row r="91" spans="1:4" ht="12" customHeight="1">
      <c r="A91" s="114" t="s">
        <v>76</v>
      </c>
      <c r="B91" s="116" t="s">
        <v>481</v>
      </c>
      <c r="C91" s="115" t="s">
        <v>482</v>
      </c>
      <c r="D91" s="66" t="s">
        <v>328</v>
      </c>
    </row>
    <row r="92" spans="1:4" ht="24.75">
      <c r="A92" s="114" t="s">
        <v>76</v>
      </c>
      <c r="B92" s="116" t="s">
        <v>483</v>
      </c>
      <c r="C92" s="115" t="s">
        <v>484</v>
      </c>
      <c r="D92" s="84" t="s">
        <v>302</v>
      </c>
    </row>
    <row r="93" spans="1:4" ht="12" customHeight="1">
      <c r="A93" s="114" t="s">
        <v>76</v>
      </c>
      <c r="B93" s="116" t="s">
        <v>485</v>
      </c>
      <c r="C93" s="115" t="s">
        <v>486</v>
      </c>
      <c r="D93" s="75" t="s">
        <v>302</v>
      </c>
    </row>
    <row r="94" spans="1:4" ht="12" customHeight="1">
      <c r="A94" s="114" t="s">
        <v>76</v>
      </c>
      <c r="B94" s="116" t="s">
        <v>487</v>
      </c>
      <c r="C94" s="131" t="s">
        <v>488</v>
      </c>
      <c r="D94" s="75" t="s">
        <v>302</v>
      </c>
    </row>
    <row r="95" spans="1:4" ht="12" customHeight="1">
      <c r="A95" s="114" t="s">
        <v>76</v>
      </c>
      <c r="B95" s="302" t="s">
        <v>489</v>
      </c>
      <c r="C95" s="115" t="s">
        <v>490</v>
      </c>
      <c r="D95" s="75" t="s">
        <v>302</v>
      </c>
    </row>
    <row r="96" spans="1:4" ht="12" customHeight="1">
      <c r="A96" s="114" t="s">
        <v>76</v>
      </c>
      <c r="B96" s="132"/>
      <c r="C96" s="133"/>
      <c r="D96" s="77"/>
    </row>
    <row r="97" spans="1:4" ht="12" customHeight="1">
      <c r="A97" s="114" t="s">
        <v>76</v>
      </c>
      <c r="B97" s="303"/>
      <c r="C97" s="134"/>
      <c r="D97" s="77"/>
    </row>
    <row r="98" spans="1:4" ht="12" customHeight="1">
      <c r="A98" s="114" t="s">
        <v>76</v>
      </c>
      <c r="B98" s="303"/>
      <c r="C98" s="135"/>
      <c r="D98" s="77"/>
    </row>
    <row r="99" spans="1:4" ht="12" customHeight="1">
      <c r="A99" s="114" t="s">
        <v>76</v>
      </c>
      <c r="B99" s="303"/>
      <c r="C99" s="135"/>
      <c r="D99" s="77"/>
    </row>
    <row r="100" spans="1:4" ht="12" customHeight="1">
      <c r="A100" s="114" t="s">
        <v>76</v>
      </c>
      <c r="B100" s="304"/>
      <c r="C100" s="136"/>
      <c r="D100" s="77"/>
    </row>
    <row r="101" spans="1:4" ht="12" customHeight="1">
      <c r="A101" s="114" t="s">
        <v>76</v>
      </c>
      <c r="B101" s="134"/>
      <c r="C101" s="134"/>
      <c r="D101" s="77"/>
    </row>
    <row r="102" spans="1:4" ht="12" customHeight="1">
      <c r="A102" s="114" t="s">
        <v>78</v>
      </c>
      <c r="B102" s="116"/>
      <c r="C102" s="121" t="s">
        <v>309</v>
      </c>
      <c r="D102" s="75"/>
    </row>
    <row r="103" spans="1:4" ht="12" customHeight="1">
      <c r="A103" s="114" t="s">
        <v>78</v>
      </c>
      <c r="B103" s="116" t="s">
        <v>310</v>
      </c>
      <c r="C103" s="126" t="s">
        <v>2223</v>
      </c>
      <c r="D103" s="75" t="s">
        <v>302</v>
      </c>
    </row>
    <row r="104" spans="1:4" ht="12" customHeight="1">
      <c r="A104" s="114" t="s">
        <v>78</v>
      </c>
      <c r="B104" s="116" t="s">
        <v>312</v>
      </c>
      <c r="C104" s="115" t="s">
        <v>313</v>
      </c>
      <c r="D104" s="75" t="s">
        <v>302</v>
      </c>
    </row>
    <row r="105" spans="1:4" ht="12" customHeight="1">
      <c r="A105" s="114" t="s">
        <v>78</v>
      </c>
      <c r="B105" s="116" t="s">
        <v>314</v>
      </c>
      <c r="C105" s="115" t="s">
        <v>315</v>
      </c>
      <c r="D105" s="75" t="s">
        <v>302</v>
      </c>
    </row>
    <row r="106" spans="1:4" ht="12" customHeight="1">
      <c r="A106" s="114" t="s">
        <v>78</v>
      </c>
      <c r="B106" s="116" t="s">
        <v>316</v>
      </c>
      <c r="C106" s="254" t="s">
        <v>317</v>
      </c>
      <c r="D106" s="75" t="s">
        <v>302</v>
      </c>
    </row>
    <row r="107" spans="1:4" ht="12" customHeight="1">
      <c r="A107" s="114" t="s">
        <v>78</v>
      </c>
      <c r="B107" s="116" t="s">
        <v>2221</v>
      </c>
      <c r="C107" s="127" t="s">
        <v>2222</v>
      </c>
      <c r="D107" s="75" t="s">
        <v>311</v>
      </c>
    </row>
    <row r="108" spans="1:4" ht="12" customHeight="1">
      <c r="A108" s="114" t="s">
        <v>78</v>
      </c>
      <c r="B108" s="116" t="s">
        <v>318</v>
      </c>
      <c r="C108" s="115" t="s">
        <v>319</v>
      </c>
      <c r="D108" s="75" t="s">
        <v>302</v>
      </c>
    </row>
    <row r="109" spans="1:4" ht="12" customHeight="1">
      <c r="A109" s="114" t="s">
        <v>78</v>
      </c>
      <c r="B109" s="116" t="s">
        <v>320</v>
      </c>
      <c r="C109" s="115" t="s">
        <v>321</v>
      </c>
      <c r="D109" s="75" t="s">
        <v>302</v>
      </c>
    </row>
    <row r="110" spans="1:4" ht="12" customHeight="1">
      <c r="A110" s="114" t="s">
        <v>78</v>
      </c>
      <c r="B110" s="119" t="s">
        <v>491</v>
      </c>
      <c r="C110" s="115" t="s">
        <v>492</v>
      </c>
      <c r="D110" s="75" t="s">
        <v>302</v>
      </c>
    </row>
    <row r="111" spans="1:4" ht="12" customHeight="1">
      <c r="A111" s="114" t="s">
        <v>78</v>
      </c>
      <c r="B111" s="119" t="s">
        <v>493</v>
      </c>
      <c r="C111" s="123" t="s">
        <v>494</v>
      </c>
      <c r="D111" s="75" t="s">
        <v>302</v>
      </c>
    </row>
    <row r="112" spans="1:4" ht="12" customHeight="1">
      <c r="A112" s="114" t="s">
        <v>78</v>
      </c>
      <c r="B112" s="305" t="s">
        <v>322</v>
      </c>
      <c r="C112" s="127" t="s">
        <v>323</v>
      </c>
      <c r="D112" s="75" t="s">
        <v>302</v>
      </c>
    </row>
    <row r="113" spans="1:4" ht="12" customHeight="1">
      <c r="A113" s="114" t="s">
        <v>78</v>
      </c>
      <c r="B113" s="116" t="s">
        <v>324</v>
      </c>
      <c r="C113" s="115" t="s">
        <v>325</v>
      </c>
      <c r="D113" s="75" t="s">
        <v>302</v>
      </c>
    </row>
    <row r="114" spans="1:4" ht="12" customHeight="1">
      <c r="A114" s="114" t="s">
        <v>78</v>
      </c>
      <c r="B114" s="116" t="s">
        <v>495</v>
      </c>
      <c r="C114" s="115" t="s">
        <v>496</v>
      </c>
      <c r="D114" s="75" t="s">
        <v>302</v>
      </c>
    </row>
    <row r="115" spans="1:4" ht="12" customHeight="1">
      <c r="A115" s="114" t="s">
        <v>78</v>
      </c>
      <c r="B115" s="116" t="s">
        <v>497</v>
      </c>
      <c r="C115" s="115" t="s">
        <v>2224</v>
      </c>
      <c r="D115" s="75" t="s">
        <v>302</v>
      </c>
    </row>
    <row r="116" spans="1:4" ht="12" customHeight="1">
      <c r="A116" s="114" t="s">
        <v>78</v>
      </c>
      <c r="B116" s="116" t="s">
        <v>498</v>
      </c>
      <c r="C116" s="115" t="s">
        <v>499</v>
      </c>
      <c r="D116" s="75" t="s">
        <v>302</v>
      </c>
    </row>
    <row r="117" spans="1:4" ht="12" customHeight="1">
      <c r="A117" s="114" t="s">
        <v>78</v>
      </c>
      <c r="B117" s="116" t="s">
        <v>500</v>
      </c>
      <c r="C117" s="115" t="s">
        <v>2225</v>
      </c>
      <c r="D117" s="75" t="s">
        <v>302</v>
      </c>
    </row>
    <row r="118" spans="1:4" ht="12" customHeight="1">
      <c r="A118" s="114" t="s">
        <v>78</v>
      </c>
      <c r="B118" s="116" t="s">
        <v>326</v>
      </c>
      <c r="C118" s="115" t="s">
        <v>327</v>
      </c>
      <c r="D118" s="75" t="s">
        <v>328</v>
      </c>
    </row>
    <row r="119" spans="1:4" ht="12" customHeight="1">
      <c r="A119" s="114" t="s">
        <v>78</v>
      </c>
      <c r="B119" s="116" t="s">
        <v>329</v>
      </c>
      <c r="C119" s="115" t="s">
        <v>330</v>
      </c>
      <c r="D119" s="75" t="s">
        <v>311</v>
      </c>
    </row>
    <row r="120" spans="1:4" ht="12" customHeight="1">
      <c r="A120" s="114" t="s">
        <v>78</v>
      </c>
      <c r="B120" s="116" t="s">
        <v>2002</v>
      </c>
      <c r="C120" s="115" t="s">
        <v>2003</v>
      </c>
      <c r="D120" s="75" t="s">
        <v>311</v>
      </c>
    </row>
    <row r="121" spans="1:4" ht="12" customHeight="1">
      <c r="A121" s="114" t="s">
        <v>78</v>
      </c>
      <c r="B121" s="116" t="s">
        <v>2004</v>
      </c>
      <c r="C121" s="115" t="s">
        <v>2005</v>
      </c>
      <c r="D121" s="75" t="s">
        <v>311</v>
      </c>
    </row>
    <row r="122" spans="1:4" ht="12" customHeight="1">
      <c r="A122" s="114" t="s">
        <v>78</v>
      </c>
      <c r="B122" s="116" t="s">
        <v>332</v>
      </c>
      <c r="C122" s="115" t="s">
        <v>333</v>
      </c>
      <c r="D122" s="75" t="s">
        <v>311</v>
      </c>
    </row>
    <row r="123" spans="1:4" ht="12" customHeight="1">
      <c r="A123" s="114" t="s">
        <v>78</v>
      </c>
      <c r="B123" s="116" t="s">
        <v>501</v>
      </c>
      <c r="C123" s="115" t="s">
        <v>331</v>
      </c>
      <c r="D123" s="75" t="s">
        <v>311</v>
      </c>
    </row>
    <row r="124" spans="1:4" ht="12" customHeight="1">
      <c r="A124" s="114" t="s">
        <v>78</v>
      </c>
      <c r="B124" s="117"/>
      <c r="C124" s="117"/>
      <c r="D124" s="77"/>
    </row>
    <row r="125" spans="1:4" ht="12" customHeight="1">
      <c r="A125" s="114" t="s">
        <v>78</v>
      </c>
      <c r="B125" s="117"/>
      <c r="C125" s="117"/>
      <c r="D125" s="77"/>
    </row>
    <row r="126" spans="1:4" ht="12" customHeight="1">
      <c r="A126" s="114" t="s">
        <v>78</v>
      </c>
      <c r="B126" s="117"/>
      <c r="C126" s="117"/>
      <c r="D126" s="77"/>
    </row>
    <row r="127" spans="1:4" ht="12" customHeight="1">
      <c r="A127" s="114" t="s">
        <v>80</v>
      </c>
      <c r="B127" s="119"/>
      <c r="C127" s="121" t="s">
        <v>81</v>
      </c>
      <c r="D127" s="75"/>
    </row>
    <row r="128" spans="1:4" ht="12" customHeight="1">
      <c r="A128" s="114" t="s">
        <v>80</v>
      </c>
      <c r="B128" s="116" t="s">
        <v>502</v>
      </c>
      <c r="C128" s="115" t="s">
        <v>503</v>
      </c>
      <c r="D128" s="75" t="s">
        <v>302</v>
      </c>
    </row>
    <row r="129" spans="1:4" ht="12" customHeight="1">
      <c r="A129" s="114" t="s">
        <v>80</v>
      </c>
      <c r="B129" s="305" t="s">
        <v>504</v>
      </c>
      <c r="C129" s="115" t="s">
        <v>505</v>
      </c>
      <c r="D129" s="75" t="s">
        <v>302</v>
      </c>
    </row>
    <row r="130" spans="1:4" ht="12" customHeight="1">
      <c r="A130" s="114" t="s">
        <v>80</v>
      </c>
      <c r="B130" s="305" t="s">
        <v>506</v>
      </c>
      <c r="C130" s="115" t="s">
        <v>507</v>
      </c>
      <c r="D130" s="75" t="s">
        <v>302</v>
      </c>
    </row>
    <row r="131" spans="1:4" ht="12" customHeight="1">
      <c r="A131" s="114" t="s">
        <v>80</v>
      </c>
      <c r="B131" s="305" t="s">
        <v>508</v>
      </c>
      <c r="C131" s="115" t="s">
        <v>509</v>
      </c>
      <c r="D131" s="75" t="s">
        <v>302</v>
      </c>
    </row>
    <row r="132" spans="1:4" ht="12" customHeight="1">
      <c r="A132" s="114" t="s">
        <v>80</v>
      </c>
      <c r="B132" s="305" t="s">
        <v>510</v>
      </c>
      <c r="C132" s="115" t="s">
        <v>511</v>
      </c>
      <c r="D132" s="75" t="s">
        <v>302</v>
      </c>
    </row>
    <row r="133" spans="1:4" ht="12" customHeight="1">
      <c r="A133" s="114" t="s">
        <v>80</v>
      </c>
      <c r="B133" s="305" t="s">
        <v>512</v>
      </c>
      <c r="C133" s="115" t="s">
        <v>505</v>
      </c>
      <c r="D133" s="75" t="s">
        <v>302</v>
      </c>
    </row>
    <row r="134" spans="1:4" ht="12" customHeight="1">
      <c r="A134" s="114" t="s">
        <v>80</v>
      </c>
      <c r="B134" s="305" t="s">
        <v>513</v>
      </c>
      <c r="C134" s="115" t="s">
        <v>507</v>
      </c>
      <c r="D134" s="75" t="s">
        <v>302</v>
      </c>
    </row>
    <row r="135" spans="1:4" ht="12" customHeight="1">
      <c r="A135" s="114" t="s">
        <v>80</v>
      </c>
      <c r="B135" s="116" t="s">
        <v>514</v>
      </c>
      <c r="C135" s="115" t="s">
        <v>515</v>
      </c>
      <c r="D135" s="75" t="s">
        <v>302</v>
      </c>
    </row>
    <row r="136" spans="1:4" ht="12" customHeight="1">
      <c r="A136" s="114" t="s">
        <v>80</v>
      </c>
      <c r="B136" s="116" t="s">
        <v>516</v>
      </c>
      <c r="C136" s="115" t="s">
        <v>517</v>
      </c>
      <c r="D136" s="75" t="s">
        <v>302</v>
      </c>
    </row>
    <row r="137" spans="1:4" ht="12" customHeight="1">
      <c r="A137" s="114" t="s">
        <v>80</v>
      </c>
      <c r="B137" s="116" t="s">
        <v>518</v>
      </c>
      <c r="C137" s="115" t="s">
        <v>519</v>
      </c>
      <c r="D137" s="75" t="s">
        <v>302</v>
      </c>
    </row>
    <row r="138" spans="1:4" ht="12" customHeight="1">
      <c r="A138" s="114" t="s">
        <v>80</v>
      </c>
      <c r="B138" s="116" t="s">
        <v>520</v>
      </c>
      <c r="C138" s="115" t="s">
        <v>521</v>
      </c>
      <c r="D138" s="75" t="s">
        <v>302</v>
      </c>
    </row>
    <row r="139" spans="1:4" ht="12" customHeight="1">
      <c r="A139" s="114" t="s">
        <v>80</v>
      </c>
      <c r="B139" s="116" t="s">
        <v>522</v>
      </c>
      <c r="C139" s="115" t="s">
        <v>505</v>
      </c>
      <c r="D139" s="75" t="s">
        <v>302</v>
      </c>
    </row>
    <row r="140" spans="1:4" ht="12" customHeight="1">
      <c r="A140" s="114" t="s">
        <v>80</v>
      </c>
      <c r="B140" s="116" t="s">
        <v>523</v>
      </c>
      <c r="C140" s="115" t="s">
        <v>507</v>
      </c>
      <c r="D140" s="75" t="s">
        <v>302</v>
      </c>
    </row>
    <row r="141" spans="1:4" ht="12" customHeight="1">
      <c r="A141" s="114" t="s">
        <v>80</v>
      </c>
      <c r="B141" s="116" t="s">
        <v>524</v>
      </c>
      <c r="C141" s="115" t="s">
        <v>525</v>
      </c>
      <c r="D141" s="75" t="s">
        <v>302</v>
      </c>
    </row>
    <row r="142" spans="1:4" ht="12" customHeight="1">
      <c r="A142" s="114" t="s">
        <v>80</v>
      </c>
      <c r="B142" s="116" t="s">
        <v>526</v>
      </c>
      <c r="C142" s="115" t="s">
        <v>527</v>
      </c>
      <c r="D142" s="75" t="s">
        <v>302</v>
      </c>
    </row>
    <row r="143" spans="1:4" ht="12" customHeight="1">
      <c r="A143" s="114" t="s">
        <v>80</v>
      </c>
      <c r="B143" s="86" t="s">
        <v>528</v>
      </c>
      <c r="C143" s="86" t="s">
        <v>529</v>
      </c>
      <c r="D143" s="75" t="s">
        <v>302</v>
      </c>
    </row>
    <row r="144" spans="1:4" ht="12" customHeight="1">
      <c r="A144" s="114" t="s">
        <v>80</v>
      </c>
      <c r="B144" s="85" t="s">
        <v>530</v>
      </c>
      <c r="C144" s="85" t="s">
        <v>531</v>
      </c>
      <c r="D144" s="75" t="s">
        <v>302</v>
      </c>
    </row>
    <row r="145" spans="1:4" ht="12" customHeight="1">
      <c r="A145" s="114" t="s">
        <v>80</v>
      </c>
      <c r="B145" s="85" t="s">
        <v>532</v>
      </c>
      <c r="C145" s="85" t="s">
        <v>533</v>
      </c>
      <c r="D145" s="75" t="s">
        <v>302</v>
      </c>
    </row>
    <row r="146" spans="1:4" ht="12" customHeight="1">
      <c r="A146" s="114" t="s">
        <v>80</v>
      </c>
      <c r="B146" s="306" t="s">
        <v>534</v>
      </c>
      <c r="C146" s="85" t="s">
        <v>535</v>
      </c>
      <c r="D146" s="75" t="s">
        <v>302</v>
      </c>
    </row>
    <row r="147" spans="1:4" ht="12" customHeight="1">
      <c r="A147" s="114" t="s">
        <v>80</v>
      </c>
      <c r="B147" s="116" t="s">
        <v>536</v>
      </c>
      <c r="C147" s="115" t="s">
        <v>537</v>
      </c>
      <c r="D147" s="75" t="s">
        <v>302</v>
      </c>
    </row>
    <row r="148" spans="1:4" ht="12" customHeight="1">
      <c r="A148" s="114" t="s">
        <v>80</v>
      </c>
      <c r="B148" s="87" t="s">
        <v>538</v>
      </c>
      <c r="C148" s="137" t="s">
        <v>539</v>
      </c>
      <c r="D148" s="75" t="s">
        <v>302</v>
      </c>
    </row>
    <row r="149" spans="1:4" ht="12" customHeight="1">
      <c r="A149" s="114" t="s">
        <v>80</v>
      </c>
      <c r="B149" s="87" t="s">
        <v>540</v>
      </c>
      <c r="C149" s="138" t="s">
        <v>541</v>
      </c>
      <c r="D149" s="75" t="s">
        <v>302</v>
      </c>
    </row>
    <row r="150" spans="1:4" ht="12" customHeight="1">
      <c r="A150" s="114" t="s">
        <v>80</v>
      </c>
      <c r="B150" s="87" t="s">
        <v>542</v>
      </c>
      <c r="C150" s="138" t="s">
        <v>543</v>
      </c>
      <c r="D150" s="75" t="s">
        <v>302</v>
      </c>
    </row>
    <row r="151" spans="1:4" ht="12" customHeight="1">
      <c r="A151" s="114" t="s">
        <v>80</v>
      </c>
      <c r="B151" s="87" t="s">
        <v>544</v>
      </c>
      <c r="C151" s="138" t="s">
        <v>545</v>
      </c>
      <c r="D151" s="75" t="s">
        <v>302</v>
      </c>
    </row>
    <row r="152" spans="1:4" ht="12" customHeight="1">
      <c r="A152" s="114" t="s">
        <v>80</v>
      </c>
      <c r="B152" s="87" t="s">
        <v>546</v>
      </c>
      <c r="C152" s="138" t="s">
        <v>547</v>
      </c>
      <c r="D152" s="75" t="s">
        <v>302</v>
      </c>
    </row>
    <row r="153" spans="1:4" ht="12" customHeight="1">
      <c r="A153" s="114" t="s">
        <v>80</v>
      </c>
      <c r="B153" s="87" t="s">
        <v>548</v>
      </c>
      <c r="C153" s="138" t="s">
        <v>2159</v>
      </c>
      <c r="D153" s="75" t="s">
        <v>302</v>
      </c>
    </row>
    <row r="154" spans="1:4" ht="12" customHeight="1">
      <c r="A154" s="114" t="s">
        <v>80</v>
      </c>
      <c r="B154" s="87" t="s">
        <v>549</v>
      </c>
      <c r="C154" s="138" t="s">
        <v>550</v>
      </c>
      <c r="D154" s="75" t="s">
        <v>302</v>
      </c>
    </row>
    <row r="155" spans="1:4" ht="12" customHeight="1">
      <c r="A155" s="114" t="s">
        <v>80</v>
      </c>
      <c r="B155" s="87" t="s">
        <v>551</v>
      </c>
      <c r="C155" s="139" t="s">
        <v>2006</v>
      </c>
      <c r="D155" s="75" t="s">
        <v>302</v>
      </c>
    </row>
    <row r="156" spans="1:4" ht="12" customHeight="1">
      <c r="A156" s="114" t="s">
        <v>80</v>
      </c>
      <c r="B156" s="87" t="s">
        <v>552</v>
      </c>
      <c r="C156" s="138" t="s">
        <v>553</v>
      </c>
      <c r="D156" s="75" t="s">
        <v>302</v>
      </c>
    </row>
    <row r="157" spans="1:4" ht="12" customHeight="1">
      <c r="A157" s="114" t="s">
        <v>80</v>
      </c>
      <c r="B157" s="87" t="s">
        <v>554</v>
      </c>
      <c r="C157" s="138" t="s">
        <v>555</v>
      </c>
      <c r="D157" s="75" t="s">
        <v>302</v>
      </c>
    </row>
    <row r="158" spans="1:4" ht="12" customHeight="1">
      <c r="A158" s="114" t="s">
        <v>80</v>
      </c>
      <c r="B158" s="87" t="s">
        <v>556</v>
      </c>
      <c r="C158" s="138" t="s">
        <v>557</v>
      </c>
      <c r="D158" s="75" t="s">
        <v>302</v>
      </c>
    </row>
    <row r="159" spans="1:4" ht="12" customHeight="1">
      <c r="A159" s="114" t="s">
        <v>80</v>
      </c>
      <c r="B159" s="87" t="s">
        <v>558</v>
      </c>
      <c r="C159" s="138" t="s">
        <v>559</v>
      </c>
      <c r="D159" s="75" t="s">
        <v>302</v>
      </c>
    </row>
    <row r="160" spans="1:4" ht="12" customHeight="1">
      <c r="A160" s="114" t="s">
        <v>80</v>
      </c>
      <c r="B160" s="87" t="s">
        <v>560</v>
      </c>
      <c r="C160" s="138" t="s">
        <v>561</v>
      </c>
      <c r="D160" s="75" t="s">
        <v>302</v>
      </c>
    </row>
    <row r="161" spans="1:4" ht="12" customHeight="1">
      <c r="A161" s="114" t="s">
        <v>80</v>
      </c>
      <c r="B161" s="86" t="s">
        <v>562</v>
      </c>
      <c r="C161" s="86" t="s">
        <v>563</v>
      </c>
      <c r="D161" s="75" t="s">
        <v>302</v>
      </c>
    </row>
    <row r="162" spans="1:4" ht="12" customHeight="1">
      <c r="A162" s="114" t="s">
        <v>80</v>
      </c>
      <c r="B162" s="87" t="s">
        <v>564</v>
      </c>
      <c r="C162" s="138" t="s">
        <v>565</v>
      </c>
      <c r="D162" s="75" t="s">
        <v>302</v>
      </c>
    </row>
    <row r="163" spans="1:4" ht="12" customHeight="1">
      <c r="A163" s="114" t="s">
        <v>80</v>
      </c>
      <c r="B163" s="307" t="s">
        <v>566</v>
      </c>
      <c r="C163" s="138" t="s">
        <v>567</v>
      </c>
      <c r="D163" s="75" t="s">
        <v>302</v>
      </c>
    </row>
    <row r="164" spans="1:4" ht="12" customHeight="1">
      <c r="A164" s="140" t="s">
        <v>80</v>
      </c>
      <c r="B164" s="86" t="s">
        <v>568</v>
      </c>
      <c r="C164" s="138" t="s">
        <v>569</v>
      </c>
      <c r="D164" s="75" t="s">
        <v>302</v>
      </c>
    </row>
    <row r="165" spans="1:4" ht="12" customHeight="1">
      <c r="A165" s="140" t="s">
        <v>80</v>
      </c>
      <c r="B165" s="308" t="s">
        <v>2007</v>
      </c>
      <c r="C165" s="87" t="s">
        <v>2008</v>
      </c>
      <c r="D165" s="75" t="s">
        <v>311</v>
      </c>
    </row>
    <row r="166" spans="1:4" ht="12" customHeight="1">
      <c r="A166" s="140" t="s">
        <v>80</v>
      </c>
      <c r="B166" s="86" t="s">
        <v>570</v>
      </c>
      <c r="C166" s="138" t="s">
        <v>571</v>
      </c>
      <c r="D166" s="75" t="s">
        <v>302</v>
      </c>
    </row>
    <row r="167" spans="1:4" ht="12" customHeight="1">
      <c r="A167" s="140" t="s">
        <v>80</v>
      </c>
      <c r="B167" s="86" t="s">
        <v>572</v>
      </c>
      <c r="C167" s="138" t="s">
        <v>573</v>
      </c>
      <c r="D167" s="75" t="s">
        <v>302</v>
      </c>
    </row>
    <row r="168" spans="1:4" ht="12" customHeight="1">
      <c r="A168" s="140" t="s">
        <v>80</v>
      </c>
      <c r="B168" s="141"/>
      <c r="C168" s="118"/>
      <c r="D168" s="77"/>
    </row>
    <row r="169" spans="1:4" ht="12" customHeight="1">
      <c r="A169" s="140" t="s">
        <v>80</v>
      </c>
      <c r="B169" s="142"/>
      <c r="C169" s="143"/>
      <c r="D169" s="88"/>
    </row>
    <row r="170" spans="1:4" ht="12" customHeight="1">
      <c r="A170" s="140" t="s">
        <v>80</v>
      </c>
      <c r="B170" s="142"/>
      <c r="C170" s="143"/>
      <c r="D170" s="88"/>
    </row>
    <row r="171" spans="1:4" ht="12" customHeight="1">
      <c r="A171" s="140" t="s">
        <v>80</v>
      </c>
      <c r="B171" s="141"/>
      <c r="C171" s="144"/>
      <c r="D171" s="77"/>
    </row>
    <row r="172" spans="1:4" ht="12" customHeight="1">
      <c r="A172" s="140" t="s">
        <v>82</v>
      </c>
      <c r="B172" s="119"/>
      <c r="C172" s="96" t="s">
        <v>574</v>
      </c>
      <c r="D172" s="75"/>
    </row>
    <row r="173" spans="1:4" ht="12" customHeight="1">
      <c r="A173" s="140" t="s">
        <v>82</v>
      </c>
      <c r="B173" s="119" t="s">
        <v>575</v>
      </c>
      <c r="C173" s="115" t="s">
        <v>576</v>
      </c>
      <c r="D173" s="75" t="s">
        <v>302</v>
      </c>
    </row>
    <row r="174" spans="1:4" ht="12" customHeight="1">
      <c r="A174" s="140" t="s">
        <v>82</v>
      </c>
      <c r="B174" s="119" t="s">
        <v>577</v>
      </c>
      <c r="C174" s="115" t="s">
        <v>578</v>
      </c>
      <c r="D174" s="75" t="s">
        <v>302</v>
      </c>
    </row>
    <row r="175" spans="1:4" ht="12" customHeight="1">
      <c r="A175" s="140" t="s">
        <v>82</v>
      </c>
      <c r="B175" s="119" t="s">
        <v>579</v>
      </c>
      <c r="C175" s="115" t="s">
        <v>580</v>
      </c>
      <c r="D175" s="75" t="s">
        <v>302</v>
      </c>
    </row>
    <row r="176" spans="1:4" ht="12" customHeight="1">
      <c r="A176" s="140" t="s">
        <v>82</v>
      </c>
      <c r="B176" s="119" t="s">
        <v>581</v>
      </c>
      <c r="C176" s="115" t="s">
        <v>582</v>
      </c>
      <c r="D176" s="75" t="s">
        <v>302</v>
      </c>
    </row>
    <row r="177" spans="1:4" ht="12" customHeight="1">
      <c r="A177" s="140" t="s">
        <v>82</v>
      </c>
      <c r="B177" s="119" t="s">
        <v>583</v>
      </c>
      <c r="C177" s="115" t="s">
        <v>584</v>
      </c>
      <c r="D177" s="75" t="s">
        <v>302</v>
      </c>
    </row>
    <row r="178" spans="1:4" ht="12" customHeight="1">
      <c r="A178" s="140" t="s">
        <v>82</v>
      </c>
      <c r="B178" s="119" t="s">
        <v>585</v>
      </c>
      <c r="C178" s="115" t="s">
        <v>586</v>
      </c>
      <c r="D178" s="75" t="s">
        <v>302</v>
      </c>
    </row>
    <row r="179" spans="1:4" ht="12" customHeight="1">
      <c r="A179" s="140" t="s">
        <v>82</v>
      </c>
      <c r="B179" s="119" t="s">
        <v>587</v>
      </c>
      <c r="C179" s="115" t="s">
        <v>588</v>
      </c>
      <c r="D179" s="75" t="s">
        <v>302</v>
      </c>
    </row>
    <row r="180" spans="1:4" ht="12" customHeight="1">
      <c r="A180" s="140" t="s">
        <v>82</v>
      </c>
      <c r="B180" s="119" t="s">
        <v>589</v>
      </c>
      <c r="C180" s="115" t="s">
        <v>590</v>
      </c>
      <c r="D180" s="75" t="s">
        <v>302</v>
      </c>
    </row>
    <row r="181" spans="1:4" ht="12" customHeight="1">
      <c r="A181" s="140" t="s">
        <v>82</v>
      </c>
      <c r="B181" s="119" t="s">
        <v>591</v>
      </c>
      <c r="C181" s="115" t="s">
        <v>592</v>
      </c>
      <c r="D181" s="75" t="s">
        <v>302</v>
      </c>
    </row>
    <row r="182" spans="1:4" ht="12" customHeight="1">
      <c r="A182" s="140" t="s">
        <v>82</v>
      </c>
      <c r="B182" s="86" t="s">
        <v>593</v>
      </c>
      <c r="C182" s="145" t="s">
        <v>594</v>
      </c>
      <c r="D182" s="75" t="s">
        <v>302</v>
      </c>
    </row>
    <row r="183" spans="1:4" ht="12" customHeight="1">
      <c r="A183" s="140" t="s">
        <v>82</v>
      </c>
      <c r="B183" s="146" t="s">
        <v>595</v>
      </c>
      <c r="C183" s="147" t="s">
        <v>596</v>
      </c>
      <c r="D183" s="75" t="s">
        <v>302</v>
      </c>
    </row>
    <row r="184" spans="1:4" ht="12" customHeight="1">
      <c r="A184" s="140" t="s">
        <v>82</v>
      </c>
      <c r="B184" s="146" t="s">
        <v>597</v>
      </c>
      <c r="C184" s="147" t="s">
        <v>598</v>
      </c>
      <c r="D184" s="75" t="s">
        <v>302</v>
      </c>
    </row>
    <row r="185" spans="1:4" ht="12" customHeight="1">
      <c r="A185" s="140" t="s">
        <v>82</v>
      </c>
      <c r="B185" s="146" t="s">
        <v>599</v>
      </c>
      <c r="C185" s="147" t="s">
        <v>600</v>
      </c>
      <c r="D185" s="75" t="s">
        <v>302</v>
      </c>
    </row>
    <row r="186" spans="1:4" ht="12" customHeight="1">
      <c r="A186" s="140" t="s">
        <v>82</v>
      </c>
      <c r="B186" s="146" t="s">
        <v>601</v>
      </c>
      <c r="C186" s="147" t="s">
        <v>602</v>
      </c>
      <c r="D186" s="75" t="s">
        <v>302</v>
      </c>
    </row>
    <row r="187" spans="1:4" ht="12" customHeight="1">
      <c r="A187" s="140" t="s">
        <v>82</v>
      </c>
      <c r="B187" s="141"/>
      <c r="C187" s="118"/>
      <c r="D187" s="77"/>
    </row>
    <row r="188" spans="1:4" ht="12" customHeight="1">
      <c r="A188" s="140" t="s">
        <v>82</v>
      </c>
      <c r="B188" s="141"/>
      <c r="C188" s="118"/>
      <c r="D188" s="77"/>
    </row>
    <row r="189" spans="1:4" ht="12" customHeight="1">
      <c r="A189" s="114" t="s">
        <v>82</v>
      </c>
      <c r="B189" s="309"/>
      <c r="C189" s="118"/>
      <c r="D189" s="77"/>
    </row>
    <row r="190" spans="1:4" ht="12" customHeight="1">
      <c r="A190" s="114" t="s">
        <v>82</v>
      </c>
      <c r="B190" s="141"/>
      <c r="C190" s="118"/>
      <c r="D190" s="77"/>
    </row>
    <row r="191" spans="1:4" ht="12" customHeight="1">
      <c r="A191" s="148" t="s">
        <v>83</v>
      </c>
      <c r="B191" s="149" t="s">
        <v>83</v>
      </c>
      <c r="C191" s="96" t="s">
        <v>603</v>
      </c>
      <c r="D191" s="75" t="s">
        <v>302</v>
      </c>
    </row>
    <row r="192" spans="1:4" ht="12" customHeight="1">
      <c r="A192" s="148" t="s">
        <v>83</v>
      </c>
      <c r="B192" s="150" t="s">
        <v>604</v>
      </c>
      <c r="C192" s="115" t="s">
        <v>605</v>
      </c>
      <c r="D192" s="75" t="s">
        <v>302</v>
      </c>
    </row>
    <row r="193" spans="1:4" ht="12" customHeight="1">
      <c r="A193" s="148" t="s">
        <v>83</v>
      </c>
      <c r="B193" s="150" t="s">
        <v>606</v>
      </c>
      <c r="C193" s="115" t="s">
        <v>607</v>
      </c>
      <c r="D193" s="75" t="s">
        <v>302</v>
      </c>
    </row>
    <row r="194" spans="1:4" ht="12" customHeight="1">
      <c r="A194" s="148" t="s">
        <v>83</v>
      </c>
      <c r="B194" s="150" t="s">
        <v>608</v>
      </c>
      <c r="C194" s="115" t="s">
        <v>609</v>
      </c>
      <c r="D194" s="75" t="s">
        <v>302</v>
      </c>
    </row>
    <row r="195" spans="1:4" ht="12" customHeight="1">
      <c r="A195" s="148" t="s">
        <v>83</v>
      </c>
      <c r="B195" s="150" t="s">
        <v>610</v>
      </c>
      <c r="C195" s="115" t="s">
        <v>611</v>
      </c>
      <c r="D195" s="75" t="s">
        <v>302</v>
      </c>
    </row>
    <row r="196" spans="1:4" ht="12" customHeight="1">
      <c r="A196" s="148" t="s">
        <v>83</v>
      </c>
      <c r="B196" s="150" t="s">
        <v>612</v>
      </c>
      <c r="C196" s="115" t="s">
        <v>613</v>
      </c>
      <c r="D196" s="75" t="s">
        <v>302</v>
      </c>
    </row>
    <row r="197" spans="1:4" ht="12" customHeight="1">
      <c r="A197" s="148" t="s">
        <v>83</v>
      </c>
      <c r="B197" s="151" t="s">
        <v>614</v>
      </c>
      <c r="C197" s="115" t="s">
        <v>615</v>
      </c>
      <c r="D197" s="75" t="s">
        <v>302</v>
      </c>
    </row>
    <row r="198" spans="1:4" ht="12" customHeight="1">
      <c r="A198" s="148" t="s">
        <v>83</v>
      </c>
      <c r="B198" s="151" t="s">
        <v>616</v>
      </c>
      <c r="C198" s="115" t="s">
        <v>617</v>
      </c>
      <c r="D198" s="75" t="s">
        <v>302</v>
      </c>
    </row>
    <row r="199" spans="1:4" ht="12" customHeight="1">
      <c r="A199" s="148" t="s">
        <v>83</v>
      </c>
      <c r="B199" s="152" t="s">
        <v>618</v>
      </c>
      <c r="C199" s="115" t="s">
        <v>619</v>
      </c>
      <c r="D199" s="75" t="s">
        <v>302</v>
      </c>
    </row>
    <row r="200" spans="1:4" ht="12" customHeight="1">
      <c r="A200" s="148" t="s">
        <v>83</v>
      </c>
      <c r="B200" s="150" t="s">
        <v>620</v>
      </c>
      <c r="C200" s="115" t="s">
        <v>621</v>
      </c>
      <c r="D200" s="75" t="s">
        <v>302</v>
      </c>
    </row>
    <row r="201" spans="1:4" ht="12" customHeight="1">
      <c r="A201" s="148" t="s">
        <v>83</v>
      </c>
      <c r="B201" s="151" t="s">
        <v>622</v>
      </c>
      <c r="C201" s="115" t="s">
        <v>623</v>
      </c>
      <c r="D201" s="75" t="s">
        <v>302</v>
      </c>
    </row>
    <row r="202" spans="1:4" ht="12" customHeight="1">
      <c r="A202" s="148" t="s">
        <v>83</v>
      </c>
      <c r="B202" s="152" t="s">
        <v>624</v>
      </c>
      <c r="C202" s="115" t="s">
        <v>625</v>
      </c>
      <c r="D202" s="75" t="s">
        <v>302</v>
      </c>
    </row>
    <row r="203" spans="1:4" ht="12" customHeight="1">
      <c r="A203" s="148" t="s">
        <v>83</v>
      </c>
      <c r="B203" s="150" t="s">
        <v>626</v>
      </c>
      <c r="C203" s="115" t="s">
        <v>627</v>
      </c>
      <c r="D203" s="75" t="s">
        <v>302</v>
      </c>
    </row>
    <row r="204" spans="1:4" ht="12" customHeight="1">
      <c r="A204" s="148" t="s">
        <v>83</v>
      </c>
      <c r="B204" s="153" t="s">
        <v>628</v>
      </c>
      <c r="C204" s="115" t="s">
        <v>629</v>
      </c>
      <c r="D204" s="75" t="s">
        <v>302</v>
      </c>
    </row>
    <row r="205" spans="1:4" ht="24.75">
      <c r="A205" s="148" t="s">
        <v>83</v>
      </c>
      <c r="B205" s="153" t="s">
        <v>630</v>
      </c>
      <c r="C205" s="115" t="s">
        <v>631</v>
      </c>
      <c r="D205" s="75" t="s">
        <v>302</v>
      </c>
    </row>
    <row r="206" spans="1:4" ht="24.75">
      <c r="A206" s="148" t="s">
        <v>83</v>
      </c>
      <c r="B206" s="310" t="s">
        <v>632</v>
      </c>
      <c r="C206" s="139" t="s">
        <v>633</v>
      </c>
      <c r="D206" s="75" t="s">
        <v>302</v>
      </c>
    </row>
    <row r="207" spans="1:4" ht="12" customHeight="1">
      <c r="A207" s="148" t="s">
        <v>83</v>
      </c>
      <c r="B207" s="310" t="s">
        <v>634</v>
      </c>
      <c r="C207" s="139" t="s">
        <v>635</v>
      </c>
      <c r="D207" s="75" t="s">
        <v>302</v>
      </c>
    </row>
    <row r="208" spans="1:4" ht="12" customHeight="1">
      <c r="A208" s="148" t="s">
        <v>83</v>
      </c>
      <c r="B208" s="150" t="s">
        <v>636</v>
      </c>
      <c r="C208" s="115" t="s">
        <v>637</v>
      </c>
      <c r="D208" s="75" t="s">
        <v>302</v>
      </c>
    </row>
    <row r="209" spans="1:4" ht="12" customHeight="1">
      <c r="A209" s="148" t="s">
        <v>83</v>
      </c>
      <c r="B209" s="152" t="s">
        <v>638</v>
      </c>
      <c r="C209" s="115" t="s">
        <v>639</v>
      </c>
      <c r="D209" s="75" t="s">
        <v>302</v>
      </c>
    </row>
    <row r="210" spans="1:4" ht="12" customHeight="1">
      <c r="A210" s="154" t="s">
        <v>83</v>
      </c>
      <c r="B210" s="150" t="s">
        <v>640</v>
      </c>
      <c r="C210" s="115" t="s">
        <v>641</v>
      </c>
      <c r="D210" s="75" t="s">
        <v>302</v>
      </c>
    </row>
    <row r="211" spans="1:4" ht="12" customHeight="1">
      <c r="A211" s="148" t="s">
        <v>83</v>
      </c>
      <c r="B211" s="153" t="s">
        <v>642</v>
      </c>
      <c r="C211" s="115" t="s">
        <v>643</v>
      </c>
      <c r="D211" s="75" t="s">
        <v>302</v>
      </c>
    </row>
    <row r="212" spans="1:4" ht="12" customHeight="1">
      <c r="A212" s="148" t="s">
        <v>83</v>
      </c>
      <c r="B212" s="150" t="s">
        <v>644</v>
      </c>
      <c r="C212" s="115" t="s">
        <v>645</v>
      </c>
      <c r="D212" s="75" t="s">
        <v>302</v>
      </c>
    </row>
    <row r="213" spans="1:4" ht="12" customHeight="1">
      <c r="A213" s="148" t="s">
        <v>83</v>
      </c>
      <c r="B213" s="150" t="s">
        <v>646</v>
      </c>
      <c r="C213" s="115" t="s">
        <v>647</v>
      </c>
      <c r="D213" s="75" t="s">
        <v>302</v>
      </c>
    </row>
    <row r="214" spans="1:4" ht="12" customHeight="1">
      <c r="A214" s="148" t="s">
        <v>83</v>
      </c>
      <c r="B214" s="155" t="s">
        <v>648</v>
      </c>
      <c r="C214" s="139" t="s">
        <v>649</v>
      </c>
      <c r="D214" s="75" t="s">
        <v>302</v>
      </c>
    </row>
    <row r="215" spans="1:4" ht="12" customHeight="1">
      <c r="A215" s="148" t="s">
        <v>83</v>
      </c>
      <c r="B215" s="139" t="s">
        <v>650</v>
      </c>
      <c r="C215" s="89" t="s">
        <v>651</v>
      </c>
      <c r="D215" s="75" t="s">
        <v>302</v>
      </c>
    </row>
    <row r="216" spans="1:4" ht="12" customHeight="1">
      <c r="A216" s="148" t="s">
        <v>83</v>
      </c>
      <c r="B216" s="139" t="s">
        <v>652</v>
      </c>
      <c r="C216" s="89" t="s">
        <v>653</v>
      </c>
      <c r="D216" s="75" t="s">
        <v>302</v>
      </c>
    </row>
    <row r="217" spans="1:4" ht="12" customHeight="1">
      <c r="A217" s="148" t="s">
        <v>83</v>
      </c>
      <c r="B217" s="311" t="s">
        <v>654</v>
      </c>
      <c r="C217" s="89" t="s">
        <v>655</v>
      </c>
      <c r="D217" s="75" t="s">
        <v>302</v>
      </c>
    </row>
    <row r="218" spans="1:4" ht="12" customHeight="1">
      <c r="A218" s="148" t="s">
        <v>83</v>
      </c>
      <c r="B218" s="89" t="s">
        <v>656</v>
      </c>
      <c r="C218" s="139" t="s">
        <v>657</v>
      </c>
      <c r="D218" s="75" t="s">
        <v>302</v>
      </c>
    </row>
    <row r="219" spans="1:4" ht="12" customHeight="1">
      <c r="A219" s="148" t="s">
        <v>83</v>
      </c>
      <c r="B219" s="89" t="s">
        <v>658</v>
      </c>
      <c r="C219" s="139" t="s">
        <v>659</v>
      </c>
      <c r="D219" s="75" t="s">
        <v>302</v>
      </c>
    </row>
    <row r="220" spans="1:4" ht="12" customHeight="1">
      <c r="A220" s="148" t="s">
        <v>83</v>
      </c>
      <c r="B220" s="142"/>
      <c r="C220" s="156"/>
      <c r="D220" s="90"/>
    </row>
    <row r="221" spans="1:4" ht="12" customHeight="1">
      <c r="A221" s="148" t="s">
        <v>83</v>
      </c>
      <c r="B221" s="141"/>
      <c r="C221" s="157"/>
      <c r="D221" s="90"/>
    </row>
    <row r="222" spans="1:4" ht="12" customHeight="1">
      <c r="A222" s="148" t="s">
        <v>83</v>
      </c>
      <c r="B222" s="158"/>
      <c r="C222" s="157"/>
      <c r="D222" s="77"/>
    </row>
    <row r="223" spans="1:4" ht="24.75">
      <c r="A223" s="159" t="s">
        <v>85</v>
      </c>
      <c r="B223" s="119"/>
      <c r="C223" s="312" t="s">
        <v>660</v>
      </c>
      <c r="D223" s="75"/>
    </row>
    <row r="224" spans="1:4" ht="12" customHeight="1">
      <c r="A224" s="159" t="s">
        <v>85</v>
      </c>
      <c r="B224" s="155" t="s">
        <v>661</v>
      </c>
      <c r="C224" s="160" t="s">
        <v>662</v>
      </c>
      <c r="D224" s="75" t="s">
        <v>302</v>
      </c>
    </row>
    <row r="225" spans="1:4" ht="12" customHeight="1">
      <c r="A225" s="159" t="s">
        <v>85</v>
      </c>
      <c r="B225" s="155" t="s">
        <v>663</v>
      </c>
      <c r="C225" s="161" t="s">
        <v>664</v>
      </c>
      <c r="D225" s="92" t="s">
        <v>302</v>
      </c>
    </row>
    <row r="226" spans="1:4" ht="12" customHeight="1">
      <c r="A226" s="159" t="s">
        <v>85</v>
      </c>
      <c r="B226" s="162" t="s">
        <v>665</v>
      </c>
      <c r="C226" s="155" t="s">
        <v>666</v>
      </c>
      <c r="D226" s="92" t="s">
        <v>302</v>
      </c>
    </row>
    <row r="227" spans="1:4" ht="12" customHeight="1">
      <c r="A227" s="159" t="s">
        <v>85</v>
      </c>
      <c r="B227" s="155" t="s">
        <v>667</v>
      </c>
      <c r="C227" s="161" t="s">
        <v>668</v>
      </c>
      <c r="D227" s="92" t="s">
        <v>302</v>
      </c>
    </row>
    <row r="228" spans="1:4" ht="12" customHeight="1">
      <c r="A228" s="159" t="s">
        <v>85</v>
      </c>
      <c r="B228" s="155" t="s">
        <v>669</v>
      </c>
      <c r="C228" s="163" t="s">
        <v>670</v>
      </c>
      <c r="D228" s="92" t="s">
        <v>302</v>
      </c>
    </row>
    <row r="229" spans="1:4" ht="12" customHeight="1">
      <c r="A229" s="159" t="s">
        <v>85</v>
      </c>
      <c r="B229" s="164" t="s">
        <v>671</v>
      </c>
      <c r="C229" s="161" t="s">
        <v>672</v>
      </c>
      <c r="D229" s="92" t="s">
        <v>302</v>
      </c>
    </row>
    <row r="230" spans="1:4" ht="12" customHeight="1">
      <c r="A230" s="165" t="s">
        <v>85</v>
      </c>
      <c r="B230" s="155" t="s">
        <v>673</v>
      </c>
      <c r="C230" s="161" t="s">
        <v>674</v>
      </c>
      <c r="D230" s="92" t="s">
        <v>302</v>
      </c>
    </row>
    <row r="231" spans="1:4" ht="12" customHeight="1">
      <c r="A231" s="165" t="s">
        <v>85</v>
      </c>
      <c r="B231" s="155" t="s">
        <v>675</v>
      </c>
      <c r="C231" s="161" t="s">
        <v>676</v>
      </c>
      <c r="D231" s="92" t="s">
        <v>302</v>
      </c>
    </row>
    <row r="232" spans="1:4" ht="12" customHeight="1">
      <c r="A232" s="165" t="s">
        <v>85</v>
      </c>
      <c r="B232" s="155" t="s">
        <v>677</v>
      </c>
      <c r="C232" s="161" t="s">
        <v>678</v>
      </c>
      <c r="D232" s="92" t="s">
        <v>302</v>
      </c>
    </row>
    <row r="233" spans="1:4" ht="12" customHeight="1">
      <c r="A233" s="165" t="s">
        <v>85</v>
      </c>
      <c r="B233" s="150" t="s">
        <v>679</v>
      </c>
      <c r="C233" s="115" t="s">
        <v>680</v>
      </c>
      <c r="D233" s="92" t="s">
        <v>302</v>
      </c>
    </row>
    <row r="234" spans="1:4" ht="12" customHeight="1">
      <c r="A234" s="165" t="s">
        <v>85</v>
      </c>
      <c r="B234" s="150" t="s">
        <v>681</v>
      </c>
      <c r="C234" s="115" t="s">
        <v>682</v>
      </c>
      <c r="D234" s="75" t="s">
        <v>302</v>
      </c>
    </row>
    <row r="235" spans="1:4" ht="12" customHeight="1">
      <c r="A235" s="165" t="s">
        <v>85</v>
      </c>
      <c r="B235" s="150" t="s">
        <v>683</v>
      </c>
      <c r="C235" s="115" t="s">
        <v>684</v>
      </c>
      <c r="D235" s="75" t="s">
        <v>302</v>
      </c>
    </row>
    <row r="236" spans="1:4" ht="12" customHeight="1">
      <c r="A236" s="165" t="s">
        <v>85</v>
      </c>
      <c r="B236" s="150" t="s">
        <v>685</v>
      </c>
      <c r="C236" s="115" t="s">
        <v>686</v>
      </c>
      <c r="D236" s="75" t="s">
        <v>302</v>
      </c>
    </row>
    <row r="237" spans="1:4" ht="12" customHeight="1">
      <c r="A237" s="159" t="s">
        <v>85</v>
      </c>
      <c r="B237" s="153" t="s">
        <v>687</v>
      </c>
      <c r="C237" s="115" t="s">
        <v>688</v>
      </c>
      <c r="D237" s="75" t="s">
        <v>302</v>
      </c>
    </row>
    <row r="238" spans="1:4" ht="12" customHeight="1">
      <c r="A238" s="159" t="s">
        <v>85</v>
      </c>
      <c r="B238" s="155" t="s">
        <v>689</v>
      </c>
      <c r="C238" s="161" t="s">
        <v>690</v>
      </c>
      <c r="D238" s="92" t="s">
        <v>302</v>
      </c>
    </row>
    <row r="239" spans="1:4" ht="12" customHeight="1">
      <c r="A239" s="159" t="s">
        <v>85</v>
      </c>
      <c r="B239" s="155" t="s">
        <v>691</v>
      </c>
      <c r="C239" s="161" t="s">
        <v>692</v>
      </c>
      <c r="D239" s="92" t="s">
        <v>302</v>
      </c>
    </row>
    <row r="240" spans="1:4" ht="12" customHeight="1">
      <c r="A240" s="159" t="s">
        <v>85</v>
      </c>
      <c r="B240" s="155" t="s">
        <v>693</v>
      </c>
      <c r="C240" s="161" t="s">
        <v>694</v>
      </c>
      <c r="D240" s="92" t="s">
        <v>302</v>
      </c>
    </row>
    <row r="241" spans="1:4" ht="12" customHeight="1">
      <c r="A241" s="159" t="s">
        <v>85</v>
      </c>
      <c r="B241" s="155" t="s">
        <v>695</v>
      </c>
      <c r="C241" s="161" t="s">
        <v>696</v>
      </c>
      <c r="D241" s="92" t="s">
        <v>302</v>
      </c>
    </row>
    <row r="242" spans="1:4" ht="12" customHeight="1">
      <c r="A242" s="159" t="s">
        <v>85</v>
      </c>
      <c r="B242" s="155" t="s">
        <v>697</v>
      </c>
      <c r="C242" s="161" t="s">
        <v>698</v>
      </c>
      <c r="D242" s="92" t="s">
        <v>302</v>
      </c>
    </row>
    <row r="243" spans="1:4" ht="12" customHeight="1">
      <c r="A243" s="159" t="s">
        <v>85</v>
      </c>
      <c r="B243" s="155" t="s">
        <v>699</v>
      </c>
      <c r="C243" s="161" t="s">
        <v>700</v>
      </c>
      <c r="D243" s="92" t="s">
        <v>302</v>
      </c>
    </row>
    <row r="244" spans="1:4" ht="12" customHeight="1">
      <c r="A244" s="159" t="s">
        <v>85</v>
      </c>
      <c r="B244" s="155" t="s">
        <v>701</v>
      </c>
      <c r="C244" s="161" t="s">
        <v>702</v>
      </c>
      <c r="D244" s="92" t="s">
        <v>302</v>
      </c>
    </row>
    <row r="245" spans="1:4" ht="12" customHeight="1">
      <c r="A245" s="159" t="s">
        <v>85</v>
      </c>
      <c r="B245" s="155" t="s">
        <v>703</v>
      </c>
      <c r="C245" s="161" t="s">
        <v>704</v>
      </c>
      <c r="D245" s="92" t="s">
        <v>302</v>
      </c>
    </row>
    <row r="246" spans="1:4" ht="12" customHeight="1">
      <c r="A246" s="159" t="s">
        <v>85</v>
      </c>
      <c r="B246" s="155" t="s">
        <v>705</v>
      </c>
      <c r="C246" s="166" t="s">
        <v>706</v>
      </c>
      <c r="D246" s="92" t="s">
        <v>302</v>
      </c>
    </row>
    <row r="247" spans="1:4" ht="12" customHeight="1">
      <c r="A247" s="159" t="s">
        <v>85</v>
      </c>
      <c r="B247" s="155" t="s">
        <v>707</v>
      </c>
      <c r="C247" s="161" t="s">
        <v>708</v>
      </c>
      <c r="D247" s="92" t="s">
        <v>302</v>
      </c>
    </row>
    <row r="248" spans="1:4" ht="12" customHeight="1">
      <c r="A248" s="159" t="s">
        <v>85</v>
      </c>
      <c r="B248" s="167" t="s">
        <v>709</v>
      </c>
      <c r="C248" s="161" t="s">
        <v>710</v>
      </c>
      <c r="D248" s="92" t="s">
        <v>302</v>
      </c>
    </row>
    <row r="249" spans="1:4" ht="12" customHeight="1">
      <c r="A249" s="159" t="s">
        <v>85</v>
      </c>
      <c r="B249" s="168" t="s">
        <v>711</v>
      </c>
      <c r="C249" s="155" t="s">
        <v>710</v>
      </c>
      <c r="D249" s="92" t="s">
        <v>302</v>
      </c>
    </row>
    <row r="250" spans="1:4" ht="12" customHeight="1">
      <c r="A250" s="159" t="s">
        <v>85</v>
      </c>
      <c r="B250" s="168" t="s">
        <v>712</v>
      </c>
      <c r="C250" s="155" t="s">
        <v>713</v>
      </c>
      <c r="D250" s="92" t="s">
        <v>714</v>
      </c>
    </row>
    <row r="251" spans="1:4" ht="12" customHeight="1">
      <c r="A251" s="114" t="s">
        <v>85</v>
      </c>
      <c r="B251" s="169"/>
      <c r="C251" s="169"/>
      <c r="D251" s="76"/>
    </row>
    <row r="252" spans="1:4" ht="12" customHeight="1">
      <c r="A252" s="140" t="s">
        <v>87</v>
      </c>
      <c r="B252" s="168"/>
      <c r="C252" s="170" t="s">
        <v>715</v>
      </c>
      <c r="D252" s="82"/>
    </row>
    <row r="253" spans="1:4" ht="12" customHeight="1">
      <c r="A253" s="140" t="s">
        <v>87</v>
      </c>
      <c r="B253" s="155" t="s">
        <v>716</v>
      </c>
      <c r="C253" s="91" t="s">
        <v>717</v>
      </c>
      <c r="D253" s="82" t="s">
        <v>302</v>
      </c>
    </row>
    <row r="254" spans="1:4" ht="12" customHeight="1">
      <c r="A254" s="140" t="s">
        <v>87</v>
      </c>
      <c r="B254" s="155" t="s">
        <v>718</v>
      </c>
      <c r="C254" s="91" t="s">
        <v>2184</v>
      </c>
      <c r="D254" s="82" t="s">
        <v>302</v>
      </c>
    </row>
    <row r="255" spans="1:4" ht="12" customHeight="1">
      <c r="A255" s="140" t="s">
        <v>87</v>
      </c>
      <c r="B255" s="155" t="s">
        <v>719</v>
      </c>
      <c r="C255" s="91" t="s">
        <v>2185</v>
      </c>
      <c r="D255" s="82" t="s">
        <v>302</v>
      </c>
    </row>
    <row r="256" spans="1:4" ht="12" customHeight="1">
      <c r="A256" s="140" t="s">
        <v>87</v>
      </c>
      <c r="B256" s="155" t="s">
        <v>720</v>
      </c>
      <c r="C256" s="91" t="s">
        <v>2186</v>
      </c>
      <c r="D256" s="94" t="s">
        <v>302</v>
      </c>
    </row>
    <row r="257" spans="1:4" ht="12" customHeight="1">
      <c r="A257" s="140" t="s">
        <v>87</v>
      </c>
      <c r="B257" s="155" t="s">
        <v>721</v>
      </c>
      <c r="C257" s="91" t="s">
        <v>2187</v>
      </c>
      <c r="D257" s="82" t="s">
        <v>302</v>
      </c>
    </row>
    <row r="258" spans="1:4" ht="12" customHeight="1">
      <c r="A258" s="140" t="s">
        <v>87</v>
      </c>
      <c r="B258" s="155" t="s">
        <v>722</v>
      </c>
      <c r="C258" s="91" t="s">
        <v>2188</v>
      </c>
      <c r="D258" s="82" t="s">
        <v>302</v>
      </c>
    </row>
    <row r="259" spans="1:4" ht="12" customHeight="1">
      <c r="A259" s="140" t="s">
        <v>87</v>
      </c>
      <c r="B259" s="155" t="s">
        <v>723</v>
      </c>
      <c r="C259" s="91" t="s">
        <v>2189</v>
      </c>
      <c r="D259" s="82" t="s">
        <v>302</v>
      </c>
    </row>
    <row r="260" spans="1:4" ht="12" customHeight="1">
      <c r="A260" s="140" t="s">
        <v>87</v>
      </c>
      <c r="B260" s="155" t="s">
        <v>724</v>
      </c>
      <c r="C260" s="91" t="s">
        <v>2190</v>
      </c>
      <c r="D260" s="82" t="s">
        <v>302</v>
      </c>
    </row>
    <row r="261" spans="1:4" ht="12" customHeight="1">
      <c r="A261" s="140" t="s">
        <v>87</v>
      </c>
      <c r="B261" s="319" t="s">
        <v>2206</v>
      </c>
      <c r="C261" s="320" t="s">
        <v>2207</v>
      </c>
      <c r="D261" s="82" t="s">
        <v>302</v>
      </c>
    </row>
    <row r="262" spans="1:4" ht="12" customHeight="1">
      <c r="A262" s="140" t="s">
        <v>87</v>
      </c>
      <c r="B262" s="168" t="s">
        <v>725</v>
      </c>
      <c r="C262" s="91" t="s">
        <v>726</v>
      </c>
      <c r="D262" s="82" t="s">
        <v>302</v>
      </c>
    </row>
    <row r="263" spans="1:4" ht="12" customHeight="1">
      <c r="A263" s="140" t="s">
        <v>87</v>
      </c>
      <c r="B263" s="168" t="s">
        <v>727</v>
      </c>
      <c r="C263" s="91" t="s">
        <v>728</v>
      </c>
      <c r="D263" s="82" t="s">
        <v>302</v>
      </c>
    </row>
    <row r="264" spans="1:4" ht="12" customHeight="1">
      <c r="A264" s="140" t="s">
        <v>87</v>
      </c>
      <c r="B264" s="168" t="s">
        <v>729</v>
      </c>
      <c r="C264" s="91" t="s">
        <v>730</v>
      </c>
      <c r="D264" s="82" t="s">
        <v>302</v>
      </c>
    </row>
    <row r="265" spans="1:4" ht="12" customHeight="1">
      <c r="A265" s="140" t="s">
        <v>87</v>
      </c>
      <c r="B265" s="168" t="s">
        <v>2208</v>
      </c>
      <c r="C265" s="91" t="s">
        <v>2195</v>
      </c>
      <c r="D265" s="82" t="s">
        <v>302</v>
      </c>
    </row>
    <row r="266" spans="1:4" ht="12" customHeight="1">
      <c r="A266" s="140" t="s">
        <v>87</v>
      </c>
      <c r="B266" s="168" t="s">
        <v>731</v>
      </c>
      <c r="C266" s="91" t="s">
        <v>732</v>
      </c>
      <c r="D266" s="82" t="s">
        <v>302</v>
      </c>
    </row>
    <row r="267" spans="1:4" ht="12" customHeight="1">
      <c r="A267" s="140" t="s">
        <v>87</v>
      </c>
      <c r="B267" s="125" t="s">
        <v>733</v>
      </c>
      <c r="C267" s="316" t="s">
        <v>734</v>
      </c>
      <c r="D267" s="82" t="s">
        <v>302</v>
      </c>
    </row>
    <row r="268" spans="1:4" ht="12" customHeight="1">
      <c r="A268" s="140" t="s">
        <v>87</v>
      </c>
      <c r="B268" s="155" t="s">
        <v>735</v>
      </c>
      <c r="C268" s="155" t="s">
        <v>2191</v>
      </c>
      <c r="D268" s="82" t="s">
        <v>302</v>
      </c>
    </row>
    <row r="269" spans="1:4" ht="12" customHeight="1">
      <c r="A269" s="140" t="s">
        <v>87</v>
      </c>
      <c r="B269" s="155" t="s">
        <v>736</v>
      </c>
      <c r="C269" s="155" t="s">
        <v>2192</v>
      </c>
      <c r="D269" s="82" t="s">
        <v>302</v>
      </c>
    </row>
    <row r="270" spans="1:4" ht="12" customHeight="1">
      <c r="A270" s="140" t="s">
        <v>87</v>
      </c>
      <c r="B270" s="155" t="s">
        <v>737</v>
      </c>
      <c r="C270" s="155" t="s">
        <v>2193</v>
      </c>
      <c r="D270" s="82" t="s">
        <v>302</v>
      </c>
    </row>
    <row r="271" spans="1:4" ht="12" customHeight="1">
      <c r="A271" s="140" t="s">
        <v>87</v>
      </c>
      <c r="B271" s="155" t="s">
        <v>738</v>
      </c>
      <c r="C271" s="155" t="s">
        <v>2194</v>
      </c>
      <c r="D271" s="82" t="s">
        <v>302</v>
      </c>
    </row>
    <row r="272" spans="1:4" ht="12" customHeight="1">
      <c r="A272" s="140" t="s">
        <v>87</v>
      </c>
      <c r="B272" s="155" t="s">
        <v>739</v>
      </c>
      <c r="C272" s="155" t="s">
        <v>2195</v>
      </c>
      <c r="D272" s="82" t="s">
        <v>302</v>
      </c>
    </row>
    <row r="273" spans="1:4" ht="12" customHeight="1">
      <c r="A273" s="140" t="s">
        <v>87</v>
      </c>
      <c r="B273" s="155" t="s">
        <v>740</v>
      </c>
      <c r="C273" s="155" t="s">
        <v>2196</v>
      </c>
      <c r="D273" s="82" t="s">
        <v>302</v>
      </c>
    </row>
    <row r="274" spans="1:4" ht="12" customHeight="1">
      <c r="A274" s="140" t="s">
        <v>87</v>
      </c>
      <c r="B274" s="155" t="s">
        <v>741</v>
      </c>
      <c r="C274" s="155" t="s">
        <v>2197</v>
      </c>
      <c r="D274" s="82" t="s">
        <v>302</v>
      </c>
    </row>
    <row r="275" spans="1:4" ht="12" customHeight="1">
      <c r="A275" s="140" t="s">
        <v>87</v>
      </c>
      <c r="B275" s="155" t="s">
        <v>742</v>
      </c>
      <c r="C275" s="155" t="s">
        <v>2198</v>
      </c>
      <c r="D275" s="82" t="s">
        <v>302</v>
      </c>
    </row>
    <row r="276" spans="1:4" ht="12" customHeight="1">
      <c r="A276" s="140" t="s">
        <v>87</v>
      </c>
      <c r="B276" s="155" t="s">
        <v>743</v>
      </c>
      <c r="C276" s="155" t="s">
        <v>2199</v>
      </c>
      <c r="D276" s="82" t="s">
        <v>302</v>
      </c>
    </row>
    <row r="277" spans="1:4" ht="12" customHeight="1">
      <c r="A277" s="140" t="s">
        <v>87</v>
      </c>
      <c r="B277" s="155" t="s">
        <v>744</v>
      </c>
      <c r="C277" s="155" t="s">
        <v>2200</v>
      </c>
      <c r="D277" s="82" t="s">
        <v>302</v>
      </c>
    </row>
    <row r="278" spans="1:4" ht="11.25" customHeight="1">
      <c r="A278" s="154" t="s">
        <v>87</v>
      </c>
      <c r="B278" s="164" t="s">
        <v>745</v>
      </c>
      <c r="C278" s="164" t="s">
        <v>2209</v>
      </c>
      <c r="D278" s="317" t="s">
        <v>302</v>
      </c>
    </row>
    <row r="279" spans="1:4" ht="12.75" customHeight="1">
      <c r="A279" s="114" t="s">
        <v>87</v>
      </c>
      <c r="B279" s="67"/>
      <c r="C279" s="67"/>
      <c r="D279" s="67"/>
    </row>
    <row r="280" spans="1:4" ht="12" customHeight="1">
      <c r="A280" s="318" t="s">
        <v>87</v>
      </c>
      <c r="B280" s="272" t="s">
        <v>746</v>
      </c>
      <c r="C280" s="123" t="s">
        <v>747</v>
      </c>
      <c r="D280" s="94" t="s">
        <v>302</v>
      </c>
    </row>
    <row r="281" spans="1:4" ht="12" customHeight="1">
      <c r="A281" s="140" t="s">
        <v>87</v>
      </c>
      <c r="B281" s="119" t="s">
        <v>748</v>
      </c>
      <c r="C281" s="115" t="s">
        <v>749</v>
      </c>
      <c r="D281" s="82" t="s">
        <v>302</v>
      </c>
    </row>
    <row r="282" spans="1:4" ht="12" customHeight="1">
      <c r="A282" s="140" t="s">
        <v>87</v>
      </c>
      <c r="B282" s="171"/>
      <c r="C282" s="172"/>
      <c r="D282" s="95"/>
    </row>
    <row r="283" spans="1:4" ht="12" customHeight="1">
      <c r="A283" s="140" t="s">
        <v>87</v>
      </c>
      <c r="B283" s="172"/>
      <c r="C283" s="172"/>
      <c r="D283" s="95"/>
    </row>
    <row r="284" spans="1:4" ht="12" customHeight="1">
      <c r="A284" s="140" t="s">
        <v>87</v>
      </c>
      <c r="B284" s="172"/>
      <c r="C284" s="172"/>
      <c r="D284" s="95"/>
    </row>
    <row r="285" spans="1:4" ht="12" customHeight="1">
      <c r="A285" s="140" t="s">
        <v>87</v>
      </c>
      <c r="B285" s="172"/>
      <c r="C285" s="172"/>
      <c r="D285" s="95"/>
    </row>
    <row r="286" spans="1:4" ht="12" customHeight="1">
      <c r="A286" s="173" t="s">
        <v>88</v>
      </c>
      <c r="B286" s="174"/>
      <c r="C286" s="96" t="s">
        <v>750</v>
      </c>
      <c r="D286" s="75"/>
    </row>
    <row r="287" spans="1:4" ht="12" customHeight="1">
      <c r="A287" s="175" t="s">
        <v>88</v>
      </c>
      <c r="B287" s="125" t="s">
        <v>751</v>
      </c>
      <c r="C287" s="176" t="s">
        <v>752</v>
      </c>
      <c r="D287" s="75" t="s">
        <v>302</v>
      </c>
    </row>
    <row r="288" spans="1:4" ht="12" customHeight="1">
      <c r="A288" s="175" t="s">
        <v>88</v>
      </c>
      <c r="B288" s="150" t="s">
        <v>753</v>
      </c>
      <c r="C288" s="115" t="s">
        <v>754</v>
      </c>
      <c r="D288" s="75" t="s">
        <v>302</v>
      </c>
    </row>
    <row r="289" spans="1:4" ht="12" customHeight="1">
      <c r="A289" s="175" t="s">
        <v>88</v>
      </c>
      <c r="B289" s="150" t="s">
        <v>755</v>
      </c>
      <c r="C289" s="115" t="s">
        <v>756</v>
      </c>
      <c r="D289" s="75" t="s">
        <v>302</v>
      </c>
    </row>
    <row r="290" spans="1:4" ht="12" customHeight="1">
      <c r="A290" s="175" t="s">
        <v>88</v>
      </c>
      <c r="B290" s="150" t="s">
        <v>757</v>
      </c>
      <c r="C290" s="115" t="s">
        <v>758</v>
      </c>
      <c r="D290" s="75" t="s">
        <v>302</v>
      </c>
    </row>
    <row r="291" spans="1:4" ht="12" customHeight="1">
      <c r="A291" s="175" t="s">
        <v>88</v>
      </c>
      <c r="B291" s="150" t="s">
        <v>759</v>
      </c>
      <c r="C291" s="115" t="s">
        <v>760</v>
      </c>
      <c r="D291" s="75" t="s">
        <v>302</v>
      </c>
    </row>
    <row r="292" spans="1:4" ht="12" customHeight="1">
      <c r="A292" s="175" t="s">
        <v>88</v>
      </c>
      <c r="B292" s="150" t="s">
        <v>761</v>
      </c>
      <c r="C292" s="115" t="s">
        <v>762</v>
      </c>
      <c r="D292" s="75" t="s">
        <v>302</v>
      </c>
    </row>
    <row r="293" spans="1:4" ht="12" customHeight="1">
      <c r="A293" s="175" t="s">
        <v>88</v>
      </c>
      <c r="B293" s="150" t="s">
        <v>763</v>
      </c>
      <c r="C293" s="115" t="s">
        <v>764</v>
      </c>
      <c r="D293" s="75" t="s">
        <v>302</v>
      </c>
    </row>
    <row r="294" spans="1:4" ht="12" customHeight="1">
      <c r="A294" s="175" t="s">
        <v>88</v>
      </c>
      <c r="B294" s="150" t="s">
        <v>765</v>
      </c>
      <c r="C294" s="115" t="s">
        <v>766</v>
      </c>
      <c r="D294" s="75" t="s">
        <v>302</v>
      </c>
    </row>
    <row r="295" spans="1:4" ht="12" customHeight="1">
      <c r="A295" s="175" t="s">
        <v>88</v>
      </c>
      <c r="B295" s="125" t="s">
        <v>767</v>
      </c>
      <c r="C295" s="115" t="s">
        <v>768</v>
      </c>
      <c r="D295" s="75" t="s">
        <v>302</v>
      </c>
    </row>
    <row r="296" spans="1:4" ht="12" customHeight="1">
      <c r="A296" s="175" t="s">
        <v>88</v>
      </c>
      <c r="B296" s="119" t="s">
        <v>769</v>
      </c>
      <c r="C296" s="123" t="s">
        <v>770</v>
      </c>
      <c r="D296" s="79" t="s">
        <v>302</v>
      </c>
    </row>
    <row r="297" spans="1:4" ht="12" customHeight="1">
      <c r="A297" s="175" t="s">
        <v>88</v>
      </c>
      <c r="B297" s="119" t="s">
        <v>771</v>
      </c>
      <c r="C297" s="123" t="s">
        <v>772</v>
      </c>
      <c r="D297" s="79" t="s">
        <v>302</v>
      </c>
    </row>
    <row r="298" spans="1:4" ht="12" customHeight="1">
      <c r="A298" s="175" t="s">
        <v>88</v>
      </c>
      <c r="B298" s="125" t="s">
        <v>773</v>
      </c>
      <c r="C298" s="115" t="s">
        <v>774</v>
      </c>
      <c r="D298" s="75" t="s">
        <v>302</v>
      </c>
    </row>
    <row r="299" spans="1:4" ht="12" customHeight="1">
      <c r="A299" s="175" t="s">
        <v>88</v>
      </c>
      <c r="B299" s="150" t="s">
        <v>775</v>
      </c>
      <c r="C299" s="177" t="s">
        <v>776</v>
      </c>
      <c r="D299" s="75" t="s">
        <v>302</v>
      </c>
    </row>
    <row r="300" spans="1:4" ht="12" customHeight="1">
      <c r="A300" s="175" t="s">
        <v>88</v>
      </c>
      <c r="B300" s="150" t="s">
        <v>777</v>
      </c>
      <c r="C300" s="115" t="s">
        <v>778</v>
      </c>
      <c r="D300" s="75" t="s">
        <v>302</v>
      </c>
    </row>
    <row r="301" spans="1:4" ht="12" customHeight="1">
      <c r="A301" s="175" t="s">
        <v>88</v>
      </c>
      <c r="B301" s="150" t="s">
        <v>779</v>
      </c>
      <c r="C301" s="115" t="s">
        <v>780</v>
      </c>
      <c r="D301" s="75" t="s">
        <v>302</v>
      </c>
    </row>
    <row r="302" spans="1:4" ht="12" customHeight="1">
      <c r="A302" s="175" t="s">
        <v>88</v>
      </c>
      <c r="B302" s="178" t="s">
        <v>781</v>
      </c>
      <c r="C302" s="115" t="s">
        <v>782</v>
      </c>
      <c r="D302" s="75" t="s">
        <v>302</v>
      </c>
    </row>
    <row r="303" spans="1:4" ht="12" customHeight="1">
      <c r="A303" s="175" t="s">
        <v>88</v>
      </c>
      <c r="B303" s="179"/>
      <c r="C303" s="118"/>
      <c r="D303" s="75" t="s">
        <v>302</v>
      </c>
    </row>
    <row r="304" spans="1:4" ht="12" customHeight="1">
      <c r="A304" s="175" t="s">
        <v>88</v>
      </c>
      <c r="B304" s="141"/>
      <c r="C304" s="118"/>
      <c r="D304" s="75" t="s">
        <v>302</v>
      </c>
    </row>
    <row r="305" spans="1:4" ht="12" customHeight="1">
      <c r="A305" s="175" t="s">
        <v>88</v>
      </c>
      <c r="B305" s="179"/>
      <c r="C305" s="118"/>
      <c r="D305" s="75" t="s">
        <v>302</v>
      </c>
    </row>
    <row r="306" spans="1:4" ht="12" customHeight="1">
      <c r="A306" s="175" t="s">
        <v>88</v>
      </c>
      <c r="B306" s="141"/>
      <c r="C306" s="118"/>
      <c r="D306" s="75" t="s">
        <v>302</v>
      </c>
    </row>
    <row r="307" spans="1:4" ht="12" customHeight="1">
      <c r="A307" s="175" t="s">
        <v>88</v>
      </c>
      <c r="B307" s="179"/>
      <c r="C307" s="136"/>
      <c r="D307" s="75" t="s">
        <v>302</v>
      </c>
    </row>
    <row r="308" spans="1:4" ht="12" customHeight="1">
      <c r="A308" s="175" t="s">
        <v>88</v>
      </c>
      <c r="B308" s="180"/>
      <c r="C308" s="180"/>
      <c r="D308" s="66" t="s">
        <v>302</v>
      </c>
    </row>
    <row r="309" spans="1:4" ht="12" customHeight="1">
      <c r="A309" s="175" t="s">
        <v>88</v>
      </c>
      <c r="B309" s="180"/>
      <c r="C309" s="180"/>
      <c r="D309" s="66" t="s">
        <v>302</v>
      </c>
    </row>
    <row r="310" spans="1:4" ht="12" customHeight="1">
      <c r="A310" s="175" t="s">
        <v>88</v>
      </c>
      <c r="B310" s="180"/>
      <c r="C310" s="180"/>
      <c r="D310" s="66" t="s">
        <v>302</v>
      </c>
    </row>
    <row r="311" spans="1:4" ht="12" customHeight="1">
      <c r="A311" s="140" t="s">
        <v>90</v>
      </c>
      <c r="B311" s="178" t="s">
        <v>783</v>
      </c>
      <c r="C311" s="115" t="s">
        <v>784</v>
      </c>
      <c r="D311" s="75" t="s">
        <v>302</v>
      </c>
    </row>
    <row r="312" spans="1:4" ht="12" customHeight="1">
      <c r="A312" s="140" t="s">
        <v>90</v>
      </c>
      <c r="B312" s="119" t="s">
        <v>785</v>
      </c>
      <c r="C312" s="115" t="s">
        <v>786</v>
      </c>
      <c r="D312" s="75" t="s">
        <v>302</v>
      </c>
    </row>
    <row r="313" spans="1:4" ht="12" customHeight="1">
      <c r="A313" s="140" t="s">
        <v>90</v>
      </c>
      <c r="B313" s="178" t="s">
        <v>787</v>
      </c>
      <c r="C313" s="177" t="s">
        <v>788</v>
      </c>
      <c r="D313" s="75" t="s">
        <v>302</v>
      </c>
    </row>
    <row r="314" spans="1:4" ht="12" customHeight="1">
      <c r="A314" s="140" t="s">
        <v>90</v>
      </c>
      <c r="B314" s="181" t="s">
        <v>789</v>
      </c>
      <c r="C314" s="181" t="s">
        <v>790</v>
      </c>
      <c r="D314" s="66" t="s">
        <v>302</v>
      </c>
    </row>
    <row r="315" spans="1:4" ht="12" customHeight="1">
      <c r="A315" s="140" t="s">
        <v>90</v>
      </c>
      <c r="B315" s="181" t="s">
        <v>791</v>
      </c>
      <c r="C315" s="181" t="s">
        <v>792</v>
      </c>
      <c r="D315" s="66" t="s">
        <v>302</v>
      </c>
    </row>
    <row r="316" spans="1:4" ht="12" customHeight="1">
      <c r="A316" s="114" t="s">
        <v>90</v>
      </c>
      <c r="B316" s="182"/>
      <c r="C316" s="183"/>
    </row>
    <row r="317" spans="1:4" ht="12" customHeight="1">
      <c r="A317" s="184" t="s">
        <v>793</v>
      </c>
      <c r="B317" s="313"/>
      <c r="C317" s="96" t="s">
        <v>794</v>
      </c>
      <c r="D317" s="75"/>
    </row>
    <row r="318" spans="1:4" ht="12" customHeight="1">
      <c r="A318" s="184" t="s">
        <v>793</v>
      </c>
      <c r="B318" s="150" t="s">
        <v>795</v>
      </c>
      <c r="C318" s="115" t="s">
        <v>796</v>
      </c>
      <c r="D318" s="75" t="s">
        <v>797</v>
      </c>
    </row>
    <row r="319" spans="1:4" ht="12" customHeight="1">
      <c r="A319" s="184" t="s">
        <v>793</v>
      </c>
      <c r="B319" s="150" t="s">
        <v>798</v>
      </c>
      <c r="C319" s="115" t="s">
        <v>799</v>
      </c>
      <c r="D319" s="75" t="s">
        <v>797</v>
      </c>
    </row>
    <row r="320" spans="1:4" ht="12" customHeight="1">
      <c r="A320" s="184" t="s">
        <v>793</v>
      </c>
      <c r="B320" s="150" t="s">
        <v>800</v>
      </c>
      <c r="C320" s="115" t="s">
        <v>801</v>
      </c>
      <c r="D320" s="75" t="s">
        <v>797</v>
      </c>
    </row>
    <row r="321" spans="1:4" ht="12" customHeight="1">
      <c r="A321" s="184" t="s">
        <v>793</v>
      </c>
      <c r="B321" s="150" t="s">
        <v>802</v>
      </c>
      <c r="C321" s="115" t="s">
        <v>803</v>
      </c>
      <c r="D321" s="75" t="s">
        <v>797</v>
      </c>
    </row>
    <row r="322" spans="1:4" ht="12" customHeight="1">
      <c r="A322" s="184" t="s">
        <v>793</v>
      </c>
      <c r="B322" s="150" t="s">
        <v>804</v>
      </c>
      <c r="C322" s="115" t="s">
        <v>805</v>
      </c>
      <c r="D322" s="75" t="s">
        <v>797</v>
      </c>
    </row>
    <row r="323" spans="1:4" ht="12" customHeight="1">
      <c r="A323" s="184" t="s">
        <v>793</v>
      </c>
      <c r="B323" s="150" t="s">
        <v>806</v>
      </c>
      <c r="C323" s="115" t="s">
        <v>807</v>
      </c>
      <c r="D323" s="75" t="s">
        <v>797</v>
      </c>
    </row>
    <row r="324" spans="1:4" ht="12" customHeight="1">
      <c r="A324" s="184" t="s">
        <v>793</v>
      </c>
      <c r="B324" s="150" t="s">
        <v>808</v>
      </c>
      <c r="C324" s="115" t="s">
        <v>809</v>
      </c>
      <c r="D324" s="75" t="s">
        <v>797</v>
      </c>
    </row>
    <row r="325" spans="1:4" ht="12" customHeight="1">
      <c r="A325" s="184" t="s">
        <v>793</v>
      </c>
      <c r="B325" s="150" t="s">
        <v>810</v>
      </c>
      <c r="C325" s="115" t="s">
        <v>811</v>
      </c>
      <c r="D325" s="75" t="s">
        <v>797</v>
      </c>
    </row>
    <row r="326" spans="1:4" ht="12" customHeight="1">
      <c r="A326" s="184" t="s">
        <v>793</v>
      </c>
      <c r="B326" s="150" t="s">
        <v>812</v>
      </c>
      <c r="C326" s="115" t="s">
        <v>813</v>
      </c>
      <c r="D326" s="75" t="s">
        <v>797</v>
      </c>
    </row>
    <row r="327" spans="1:4" ht="12" customHeight="1">
      <c r="A327" s="184" t="s">
        <v>793</v>
      </c>
      <c r="B327" s="150" t="s">
        <v>814</v>
      </c>
      <c r="C327" s="115" t="s">
        <v>815</v>
      </c>
      <c r="D327" s="75" t="s">
        <v>797</v>
      </c>
    </row>
    <row r="328" spans="1:4" ht="12" customHeight="1">
      <c r="A328" s="184" t="s">
        <v>793</v>
      </c>
      <c r="B328" s="150" t="s">
        <v>816</v>
      </c>
      <c r="C328" s="115" t="s">
        <v>817</v>
      </c>
      <c r="D328" s="75" t="s">
        <v>797</v>
      </c>
    </row>
    <row r="329" spans="1:4" ht="12" customHeight="1">
      <c r="A329" s="184" t="s">
        <v>793</v>
      </c>
      <c r="B329" s="150" t="s">
        <v>818</v>
      </c>
      <c r="C329" s="185" t="s">
        <v>819</v>
      </c>
      <c r="D329" s="75" t="s">
        <v>797</v>
      </c>
    </row>
    <row r="330" spans="1:4" ht="12" customHeight="1">
      <c r="A330" s="184" t="s">
        <v>793</v>
      </c>
      <c r="B330" s="150" t="s">
        <v>820</v>
      </c>
      <c r="C330" s="185" t="s">
        <v>821</v>
      </c>
      <c r="D330" s="75" t="s">
        <v>797</v>
      </c>
    </row>
    <row r="331" spans="1:4" ht="12" customHeight="1">
      <c r="A331" s="184" t="s">
        <v>793</v>
      </c>
      <c r="B331" s="150" t="s">
        <v>822</v>
      </c>
      <c r="C331" s="115" t="s">
        <v>823</v>
      </c>
      <c r="D331" s="75" t="s">
        <v>797</v>
      </c>
    </row>
    <row r="332" spans="1:4" ht="12" customHeight="1">
      <c r="A332" s="184" t="s">
        <v>793</v>
      </c>
      <c r="B332" s="150" t="s">
        <v>824</v>
      </c>
      <c r="C332" s="115" t="s">
        <v>825</v>
      </c>
      <c r="D332" s="75" t="s">
        <v>797</v>
      </c>
    </row>
    <row r="333" spans="1:4" ht="12" customHeight="1">
      <c r="A333" s="184" t="s">
        <v>793</v>
      </c>
      <c r="B333" s="150" t="s">
        <v>826</v>
      </c>
      <c r="C333" s="115" t="s">
        <v>827</v>
      </c>
      <c r="D333" s="75" t="s">
        <v>797</v>
      </c>
    </row>
    <row r="334" spans="1:4" ht="12" customHeight="1">
      <c r="A334" s="184" t="s">
        <v>793</v>
      </c>
      <c r="B334" s="150" t="s">
        <v>828</v>
      </c>
      <c r="C334" s="115" t="s">
        <v>829</v>
      </c>
      <c r="D334" s="75" t="s">
        <v>797</v>
      </c>
    </row>
    <row r="335" spans="1:4" ht="12" customHeight="1">
      <c r="A335" s="184" t="s">
        <v>793</v>
      </c>
      <c r="B335" s="150" t="s">
        <v>830</v>
      </c>
      <c r="C335" s="177" t="s">
        <v>831</v>
      </c>
      <c r="D335" s="75" t="s">
        <v>797</v>
      </c>
    </row>
    <row r="336" spans="1:4" ht="12" customHeight="1">
      <c r="A336" s="184" t="s">
        <v>793</v>
      </c>
      <c r="B336" s="150" t="s">
        <v>832</v>
      </c>
      <c r="C336" s="115" t="s">
        <v>833</v>
      </c>
      <c r="D336" s="75" t="s">
        <v>797</v>
      </c>
    </row>
    <row r="337" spans="1:4" ht="12" customHeight="1">
      <c r="A337" s="184" t="s">
        <v>793</v>
      </c>
      <c r="B337" s="150" t="s">
        <v>834</v>
      </c>
      <c r="C337" s="115" t="s">
        <v>835</v>
      </c>
      <c r="D337" s="75" t="s">
        <v>797</v>
      </c>
    </row>
    <row r="338" spans="1:4" ht="12" customHeight="1">
      <c r="A338" s="184" t="s">
        <v>793</v>
      </c>
      <c r="B338" s="150" t="s">
        <v>836</v>
      </c>
      <c r="C338" s="115" t="s">
        <v>837</v>
      </c>
      <c r="D338" s="75" t="s">
        <v>797</v>
      </c>
    </row>
    <row r="339" spans="1:4" ht="12" customHeight="1">
      <c r="A339" s="184" t="s">
        <v>793</v>
      </c>
      <c r="B339" s="150" t="s">
        <v>838</v>
      </c>
      <c r="C339" s="115" t="s">
        <v>839</v>
      </c>
      <c r="D339" s="75" t="s">
        <v>1995</v>
      </c>
    </row>
    <row r="340" spans="1:4" ht="12" customHeight="1">
      <c r="A340" s="184" t="s">
        <v>793</v>
      </c>
      <c r="B340" s="150" t="s">
        <v>2009</v>
      </c>
      <c r="C340" s="186" t="s">
        <v>2010</v>
      </c>
      <c r="D340" s="75" t="s">
        <v>1995</v>
      </c>
    </row>
    <row r="341" spans="1:4" ht="12" customHeight="1">
      <c r="A341" s="184" t="s">
        <v>793</v>
      </c>
      <c r="B341" s="150" t="s">
        <v>2011</v>
      </c>
      <c r="C341" s="126" t="s">
        <v>2012</v>
      </c>
      <c r="D341" s="79" t="s">
        <v>302</v>
      </c>
    </row>
    <row r="342" spans="1:4" ht="12" customHeight="1">
      <c r="A342" s="184" t="s">
        <v>793</v>
      </c>
      <c r="B342" s="125" t="s">
        <v>840</v>
      </c>
      <c r="C342" s="186" t="s">
        <v>841</v>
      </c>
      <c r="D342" s="75" t="s">
        <v>797</v>
      </c>
    </row>
    <row r="343" spans="1:4" ht="12" customHeight="1">
      <c r="A343" s="184" t="s">
        <v>793</v>
      </c>
      <c r="B343" s="150" t="s">
        <v>842</v>
      </c>
      <c r="C343" s="126" t="s">
        <v>843</v>
      </c>
      <c r="D343" s="75" t="s">
        <v>797</v>
      </c>
    </row>
    <row r="344" spans="1:4" ht="12" customHeight="1">
      <c r="A344" s="184" t="s">
        <v>793</v>
      </c>
      <c r="B344" s="150" t="s">
        <v>844</v>
      </c>
      <c r="C344" s="126" t="s">
        <v>845</v>
      </c>
      <c r="D344" s="75" t="s">
        <v>797</v>
      </c>
    </row>
    <row r="345" spans="1:4" ht="12" customHeight="1">
      <c r="A345" s="184" t="s">
        <v>793</v>
      </c>
      <c r="B345" s="125" t="s">
        <v>846</v>
      </c>
      <c r="C345" s="186" t="s">
        <v>847</v>
      </c>
      <c r="D345" s="79" t="s">
        <v>797</v>
      </c>
    </row>
    <row r="346" spans="1:4" ht="12" customHeight="1">
      <c r="A346" s="184" t="s">
        <v>793</v>
      </c>
      <c r="B346" s="146" t="s">
        <v>848</v>
      </c>
      <c r="C346" s="85" t="s">
        <v>849</v>
      </c>
      <c r="D346" s="75" t="s">
        <v>797</v>
      </c>
    </row>
    <row r="347" spans="1:4" ht="12" customHeight="1">
      <c r="A347" s="184" t="s">
        <v>793</v>
      </c>
      <c r="B347" s="86" t="s">
        <v>850</v>
      </c>
      <c r="C347" s="187" t="s">
        <v>851</v>
      </c>
      <c r="D347" s="75" t="s">
        <v>797</v>
      </c>
    </row>
    <row r="348" spans="1:4" ht="12" customHeight="1">
      <c r="A348" s="184" t="s">
        <v>793</v>
      </c>
      <c r="B348" s="86" t="s">
        <v>852</v>
      </c>
      <c r="C348" s="187" t="s">
        <v>853</v>
      </c>
      <c r="D348" s="75" t="s">
        <v>797</v>
      </c>
    </row>
    <row r="349" spans="1:4" ht="12" customHeight="1">
      <c r="A349" s="184" t="s">
        <v>793</v>
      </c>
      <c r="B349" s="86" t="s">
        <v>854</v>
      </c>
      <c r="C349" s="187" t="s">
        <v>2147</v>
      </c>
      <c r="D349" s="75" t="s">
        <v>797</v>
      </c>
    </row>
    <row r="350" spans="1:4" ht="12" customHeight="1">
      <c r="A350" s="184" t="s">
        <v>793</v>
      </c>
      <c r="B350" s="150" t="s">
        <v>855</v>
      </c>
      <c r="C350" s="115" t="s">
        <v>856</v>
      </c>
      <c r="D350" s="75" t="s">
        <v>797</v>
      </c>
    </row>
    <row r="351" spans="1:4" ht="12" customHeight="1">
      <c r="A351" s="184" t="s">
        <v>793</v>
      </c>
      <c r="B351" s="150" t="s">
        <v>857</v>
      </c>
      <c r="C351" s="85" t="s">
        <v>858</v>
      </c>
      <c r="D351" s="75" t="s">
        <v>797</v>
      </c>
    </row>
    <row r="352" spans="1:4" ht="12" customHeight="1">
      <c r="A352" s="184" t="s">
        <v>793</v>
      </c>
      <c r="B352" s="125" t="s">
        <v>859</v>
      </c>
      <c r="C352" s="163" t="s">
        <v>860</v>
      </c>
      <c r="D352" s="75" t="s">
        <v>797</v>
      </c>
    </row>
    <row r="353" spans="1:4" ht="12" customHeight="1">
      <c r="A353" s="184" t="s">
        <v>793</v>
      </c>
      <c r="B353" s="188" t="s">
        <v>861</v>
      </c>
      <c r="C353" s="115" t="s">
        <v>862</v>
      </c>
      <c r="D353" s="75" t="s">
        <v>797</v>
      </c>
    </row>
    <row r="354" spans="1:4" ht="12" customHeight="1">
      <c r="A354" s="184" t="s">
        <v>793</v>
      </c>
      <c r="B354" s="125" t="s">
        <v>863</v>
      </c>
      <c r="C354" s="126" t="s">
        <v>864</v>
      </c>
      <c r="D354" s="75" t="s">
        <v>797</v>
      </c>
    </row>
    <row r="355" spans="1:4" ht="12" customHeight="1">
      <c r="A355" s="184" t="s">
        <v>793</v>
      </c>
      <c r="B355" s="188" t="s">
        <v>865</v>
      </c>
      <c r="C355" s="115" t="s">
        <v>2013</v>
      </c>
      <c r="D355" s="75" t="s">
        <v>797</v>
      </c>
    </row>
    <row r="356" spans="1:4" ht="12" customHeight="1">
      <c r="A356" s="184" t="s">
        <v>793</v>
      </c>
      <c r="B356" s="150" t="s">
        <v>866</v>
      </c>
      <c r="C356" s="138" t="s">
        <v>867</v>
      </c>
      <c r="D356" s="75" t="s">
        <v>797</v>
      </c>
    </row>
    <row r="357" spans="1:4" ht="12" customHeight="1">
      <c r="A357" s="184" t="s">
        <v>793</v>
      </c>
      <c r="B357" s="150" t="s">
        <v>868</v>
      </c>
      <c r="C357" s="189" t="s">
        <v>2014</v>
      </c>
      <c r="D357" s="75" t="s">
        <v>797</v>
      </c>
    </row>
    <row r="358" spans="1:4" ht="12" customHeight="1">
      <c r="A358" s="184" t="s">
        <v>793</v>
      </c>
      <c r="B358" s="188" t="s">
        <v>869</v>
      </c>
      <c r="C358" s="115" t="s">
        <v>870</v>
      </c>
      <c r="D358" s="75" t="s">
        <v>797</v>
      </c>
    </row>
    <row r="359" spans="1:4" ht="12" customHeight="1">
      <c r="A359" s="184" t="s">
        <v>793</v>
      </c>
      <c r="B359" s="150" t="s">
        <v>871</v>
      </c>
      <c r="C359" s="115" t="s">
        <v>872</v>
      </c>
      <c r="D359" s="75" t="s">
        <v>797</v>
      </c>
    </row>
    <row r="360" spans="1:4" ht="12" customHeight="1">
      <c r="A360" s="184" t="s">
        <v>793</v>
      </c>
      <c r="B360" s="150" t="s">
        <v>873</v>
      </c>
      <c r="C360" s="115" t="s">
        <v>2015</v>
      </c>
      <c r="D360" s="75" t="s">
        <v>797</v>
      </c>
    </row>
    <row r="361" spans="1:4" ht="12" customHeight="1">
      <c r="A361" s="184" t="s">
        <v>793</v>
      </c>
      <c r="B361" s="150" t="s">
        <v>874</v>
      </c>
      <c r="C361" s="123" t="s">
        <v>875</v>
      </c>
      <c r="D361" s="75" t="s">
        <v>797</v>
      </c>
    </row>
    <row r="362" spans="1:4" ht="12" customHeight="1">
      <c r="A362" s="184" t="s">
        <v>793</v>
      </c>
      <c r="B362" s="150"/>
      <c r="C362" s="126"/>
      <c r="D362" s="75" t="s">
        <v>797</v>
      </c>
    </row>
    <row r="363" spans="1:4" ht="12" customHeight="1">
      <c r="A363" s="184" t="s">
        <v>793</v>
      </c>
      <c r="B363" s="190"/>
      <c r="C363" s="183"/>
      <c r="D363" s="79" t="s">
        <v>797</v>
      </c>
    </row>
    <row r="364" spans="1:4" ht="12" customHeight="1">
      <c r="A364" s="191" t="s">
        <v>793</v>
      </c>
      <c r="B364" s="119"/>
      <c r="C364" s="123"/>
      <c r="D364" s="75" t="s">
        <v>797</v>
      </c>
    </row>
    <row r="365" spans="1:4" ht="12" customHeight="1">
      <c r="A365" s="191" t="s">
        <v>876</v>
      </c>
      <c r="B365" s="192"/>
      <c r="C365" s="96" t="s">
        <v>877</v>
      </c>
      <c r="D365" s="75"/>
    </row>
    <row r="366" spans="1:4" ht="12" customHeight="1">
      <c r="A366" s="191" t="s">
        <v>876</v>
      </c>
      <c r="B366" s="119" t="s">
        <v>878</v>
      </c>
      <c r="C366" s="115" t="s">
        <v>877</v>
      </c>
      <c r="D366" s="75" t="s">
        <v>2016</v>
      </c>
    </row>
    <row r="367" spans="1:4" ht="12" customHeight="1">
      <c r="A367" s="191" t="s">
        <v>876</v>
      </c>
      <c r="B367" s="119"/>
      <c r="C367" s="115"/>
      <c r="D367" s="75"/>
    </row>
    <row r="368" spans="1:4" ht="12" customHeight="1">
      <c r="A368" s="193">
        <v>13</v>
      </c>
      <c r="B368" s="192"/>
      <c r="C368" s="96" t="s">
        <v>879</v>
      </c>
      <c r="D368" s="75"/>
    </row>
    <row r="369" spans="1:4" ht="12" customHeight="1">
      <c r="A369" s="194" t="s">
        <v>95</v>
      </c>
      <c r="B369" s="195" t="s">
        <v>880</v>
      </c>
      <c r="C369" s="115" t="s">
        <v>881</v>
      </c>
      <c r="D369" s="75" t="s">
        <v>302</v>
      </c>
    </row>
    <row r="370" spans="1:4" ht="12" customHeight="1">
      <c r="A370" s="196"/>
      <c r="B370" s="197"/>
      <c r="C370" s="118"/>
      <c r="D370" s="77"/>
    </row>
    <row r="371" spans="1:4" ht="12" customHeight="1">
      <c r="A371" s="196"/>
      <c r="B371" s="158"/>
      <c r="C371" s="118"/>
      <c r="D371" s="77"/>
    </row>
    <row r="372" spans="1:4" ht="12" customHeight="1">
      <c r="A372" s="196"/>
      <c r="B372" s="158"/>
      <c r="C372" s="118"/>
      <c r="D372" s="77"/>
    </row>
    <row r="373" spans="1:4" ht="12" customHeight="1">
      <c r="A373" s="198" t="s">
        <v>97</v>
      </c>
      <c r="B373" s="150" t="s">
        <v>882</v>
      </c>
      <c r="C373" s="115" t="s">
        <v>883</v>
      </c>
      <c r="D373" s="75" t="s">
        <v>1996</v>
      </c>
    </row>
    <row r="374" spans="1:4" ht="12" customHeight="1">
      <c r="A374" s="198" t="s">
        <v>97</v>
      </c>
      <c r="B374" s="150" t="s">
        <v>884</v>
      </c>
      <c r="C374" s="115" t="s">
        <v>885</v>
      </c>
      <c r="D374" s="75" t="s">
        <v>1996</v>
      </c>
    </row>
    <row r="375" spans="1:4" ht="12" customHeight="1">
      <c r="A375" s="198" t="s">
        <v>97</v>
      </c>
      <c r="B375" s="150" t="s">
        <v>886</v>
      </c>
      <c r="C375" s="115" t="s">
        <v>887</v>
      </c>
      <c r="D375" s="75" t="s">
        <v>1996</v>
      </c>
    </row>
    <row r="376" spans="1:4" ht="12" customHeight="1">
      <c r="A376" s="198" t="s">
        <v>97</v>
      </c>
      <c r="B376" s="150" t="s">
        <v>888</v>
      </c>
      <c r="C376" s="115" t="s">
        <v>889</v>
      </c>
      <c r="D376" s="75" t="s">
        <v>1996</v>
      </c>
    </row>
    <row r="377" spans="1:4" ht="12" customHeight="1">
      <c r="A377" s="198" t="s">
        <v>97</v>
      </c>
      <c r="B377" s="150" t="s">
        <v>890</v>
      </c>
      <c r="C377" s="115" t="s">
        <v>891</v>
      </c>
      <c r="D377" s="75" t="s">
        <v>1996</v>
      </c>
    </row>
    <row r="378" spans="1:4" ht="12" customHeight="1">
      <c r="A378" s="198" t="s">
        <v>97</v>
      </c>
      <c r="B378" s="150" t="s">
        <v>892</v>
      </c>
      <c r="C378" s="115" t="s">
        <v>893</v>
      </c>
      <c r="D378" s="75" t="s">
        <v>1996</v>
      </c>
    </row>
    <row r="379" spans="1:4" ht="12" customHeight="1">
      <c r="A379" s="198" t="s">
        <v>97</v>
      </c>
      <c r="B379" s="150" t="s">
        <v>894</v>
      </c>
      <c r="C379" s="115" t="s">
        <v>895</v>
      </c>
      <c r="D379" s="75" t="s">
        <v>1996</v>
      </c>
    </row>
    <row r="380" spans="1:4" ht="12" customHeight="1">
      <c r="A380" s="198" t="s">
        <v>97</v>
      </c>
      <c r="B380" s="150" t="s">
        <v>896</v>
      </c>
      <c r="C380" s="176" t="s">
        <v>897</v>
      </c>
      <c r="D380" s="75" t="s">
        <v>1996</v>
      </c>
    </row>
    <row r="381" spans="1:4" ht="12" customHeight="1">
      <c r="A381" s="198" t="s">
        <v>97</v>
      </c>
      <c r="B381" s="150" t="s">
        <v>898</v>
      </c>
      <c r="C381" s="115" t="s">
        <v>899</v>
      </c>
      <c r="D381" s="75" t="s">
        <v>1996</v>
      </c>
    </row>
    <row r="382" spans="1:4" ht="12" customHeight="1">
      <c r="A382" s="198" t="s">
        <v>97</v>
      </c>
      <c r="B382" s="150" t="s">
        <v>900</v>
      </c>
      <c r="C382" s="115" t="s">
        <v>901</v>
      </c>
      <c r="D382" s="75" t="s">
        <v>1996</v>
      </c>
    </row>
    <row r="383" spans="1:4" ht="12" customHeight="1">
      <c r="A383" s="198" t="s">
        <v>97</v>
      </c>
      <c r="B383" s="150" t="s">
        <v>902</v>
      </c>
      <c r="C383" s="115" t="s">
        <v>903</v>
      </c>
      <c r="D383" s="75" t="s">
        <v>1996</v>
      </c>
    </row>
    <row r="384" spans="1:4" ht="12" customHeight="1">
      <c r="A384" s="198" t="s">
        <v>97</v>
      </c>
      <c r="B384" s="150" t="s">
        <v>904</v>
      </c>
      <c r="C384" s="115" t="s">
        <v>905</v>
      </c>
      <c r="D384" s="75" t="s">
        <v>1996</v>
      </c>
    </row>
    <row r="385" spans="1:4" ht="12" customHeight="1">
      <c r="A385" s="198" t="s">
        <v>97</v>
      </c>
      <c r="B385" s="150" t="s">
        <v>906</v>
      </c>
      <c r="C385" s="115" t="s">
        <v>907</v>
      </c>
      <c r="D385" s="75" t="s">
        <v>1996</v>
      </c>
    </row>
    <row r="386" spans="1:4" ht="12" customHeight="1">
      <c r="A386" s="198" t="s">
        <v>97</v>
      </c>
      <c r="B386" s="150" t="s">
        <v>908</v>
      </c>
      <c r="C386" s="115" t="s">
        <v>909</v>
      </c>
      <c r="D386" s="75" t="s">
        <v>1996</v>
      </c>
    </row>
    <row r="387" spans="1:4" ht="12" customHeight="1">
      <c r="A387" s="198" t="s">
        <v>97</v>
      </c>
      <c r="B387" s="97" t="s">
        <v>910</v>
      </c>
      <c r="C387" s="97" t="s">
        <v>911</v>
      </c>
      <c r="D387" s="75" t="s">
        <v>1996</v>
      </c>
    </row>
    <row r="388" spans="1:4" ht="12" customHeight="1">
      <c r="A388" s="198" t="s">
        <v>97</v>
      </c>
      <c r="B388" s="150" t="s">
        <v>912</v>
      </c>
      <c r="C388" s="126" t="s">
        <v>913</v>
      </c>
      <c r="D388" s="75" t="s">
        <v>1996</v>
      </c>
    </row>
    <row r="389" spans="1:4" ht="12" customHeight="1">
      <c r="A389" s="196"/>
      <c r="B389" s="158"/>
      <c r="C389" s="118"/>
      <c r="D389" s="77"/>
    </row>
    <row r="390" spans="1:4" ht="12" customHeight="1">
      <c r="A390" s="196"/>
      <c r="B390" s="158"/>
      <c r="C390" s="118"/>
      <c r="D390" s="77"/>
    </row>
    <row r="391" spans="1:4" ht="12" customHeight="1">
      <c r="A391" s="196"/>
      <c r="B391" s="158"/>
      <c r="C391" s="118"/>
      <c r="D391" s="77"/>
    </row>
    <row r="392" spans="1:4" ht="12" customHeight="1">
      <c r="A392" s="196"/>
      <c r="B392" s="158"/>
      <c r="C392" s="118"/>
      <c r="D392" s="77"/>
    </row>
    <row r="393" spans="1:4" ht="12" customHeight="1">
      <c r="A393" s="196"/>
      <c r="B393" s="158"/>
      <c r="C393" s="118"/>
      <c r="D393" s="77"/>
    </row>
    <row r="394" spans="1:4" ht="12" customHeight="1">
      <c r="A394" s="196"/>
      <c r="B394" s="199"/>
      <c r="C394" s="157"/>
      <c r="D394" s="77"/>
    </row>
    <row r="395" spans="1:4" ht="12" customHeight="1">
      <c r="A395" s="198" t="s">
        <v>101</v>
      </c>
      <c r="B395" s="200" t="s">
        <v>914</v>
      </c>
      <c r="C395" s="201" t="s">
        <v>915</v>
      </c>
      <c r="D395" s="79" t="s">
        <v>916</v>
      </c>
    </row>
    <row r="396" spans="1:4" ht="12" customHeight="1">
      <c r="A396" s="194" t="s">
        <v>101</v>
      </c>
      <c r="B396" s="150" t="s">
        <v>917</v>
      </c>
      <c r="C396" s="115" t="s">
        <v>918</v>
      </c>
      <c r="D396" s="75" t="s">
        <v>916</v>
      </c>
    </row>
    <row r="397" spans="1:4" ht="12" customHeight="1">
      <c r="A397" s="194" t="s">
        <v>101</v>
      </c>
      <c r="B397" s="150" t="s">
        <v>919</v>
      </c>
      <c r="C397" s="115" t="s">
        <v>920</v>
      </c>
      <c r="D397" s="75" t="s">
        <v>916</v>
      </c>
    </row>
    <row r="398" spans="1:4" ht="12" customHeight="1">
      <c r="A398" s="194" t="s">
        <v>101</v>
      </c>
      <c r="B398" s="150" t="s">
        <v>921</v>
      </c>
      <c r="C398" s="123" t="s">
        <v>922</v>
      </c>
      <c r="D398" s="75" t="s">
        <v>916</v>
      </c>
    </row>
    <row r="399" spans="1:4" ht="12" customHeight="1">
      <c r="A399" s="194" t="s">
        <v>101</v>
      </c>
      <c r="B399" s="150" t="s">
        <v>923</v>
      </c>
      <c r="C399" s="115" t="s">
        <v>924</v>
      </c>
      <c r="D399" s="75" t="s">
        <v>916</v>
      </c>
    </row>
    <row r="400" spans="1:4" ht="12" customHeight="1">
      <c r="A400" s="194" t="s">
        <v>101</v>
      </c>
      <c r="B400" s="150" t="s">
        <v>925</v>
      </c>
      <c r="C400" s="115" t="s">
        <v>926</v>
      </c>
      <c r="D400" s="75" t="s">
        <v>916</v>
      </c>
    </row>
    <row r="401" spans="1:4" ht="12" customHeight="1">
      <c r="A401" s="194" t="s">
        <v>101</v>
      </c>
      <c r="B401" s="150" t="s">
        <v>927</v>
      </c>
      <c r="C401" s="115" t="s">
        <v>928</v>
      </c>
      <c r="D401" s="75" t="s">
        <v>916</v>
      </c>
    </row>
    <row r="402" spans="1:4" ht="12" customHeight="1">
      <c r="A402" s="194" t="s">
        <v>101</v>
      </c>
      <c r="B402" s="150" t="s">
        <v>929</v>
      </c>
      <c r="C402" s="115" t="s">
        <v>930</v>
      </c>
      <c r="D402" s="75" t="s">
        <v>916</v>
      </c>
    </row>
    <row r="403" spans="1:4" ht="12" customHeight="1">
      <c r="A403" s="194" t="s">
        <v>101</v>
      </c>
      <c r="B403" s="150" t="s">
        <v>931</v>
      </c>
      <c r="C403" s="115" t="s">
        <v>932</v>
      </c>
      <c r="D403" s="75" t="s">
        <v>916</v>
      </c>
    </row>
    <row r="404" spans="1:4" ht="12" customHeight="1">
      <c r="A404" s="194" t="s">
        <v>101</v>
      </c>
      <c r="B404" s="150" t="s">
        <v>933</v>
      </c>
      <c r="C404" s="123" t="s">
        <v>934</v>
      </c>
      <c r="D404" s="75" t="s">
        <v>916</v>
      </c>
    </row>
    <row r="405" spans="1:4" ht="12" customHeight="1">
      <c r="A405" s="194" t="s">
        <v>101</v>
      </c>
      <c r="B405" s="150" t="s">
        <v>935</v>
      </c>
      <c r="C405" s="115" t="s">
        <v>936</v>
      </c>
      <c r="D405" s="75" t="s">
        <v>916</v>
      </c>
    </row>
    <row r="406" spans="1:4" ht="12" customHeight="1">
      <c r="A406" s="194" t="s">
        <v>101</v>
      </c>
      <c r="B406" s="150" t="s">
        <v>937</v>
      </c>
      <c r="C406" s="115" t="s">
        <v>938</v>
      </c>
      <c r="D406" s="75" t="s">
        <v>916</v>
      </c>
    </row>
    <row r="407" spans="1:4" ht="12" customHeight="1">
      <c r="A407" s="194" t="s">
        <v>101</v>
      </c>
      <c r="B407" s="150" t="s">
        <v>939</v>
      </c>
      <c r="C407" s="115" t="s">
        <v>940</v>
      </c>
      <c r="D407" s="75" t="s">
        <v>916</v>
      </c>
    </row>
    <row r="408" spans="1:4" ht="12" customHeight="1">
      <c r="A408" s="194" t="s">
        <v>101</v>
      </c>
      <c r="B408" s="150" t="s">
        <v>941</v>
      </c>
      <c r="C408" s="115" t="s">
        <v>942</v>
      </c>
      <c r="D408" s="75" t="s">
        <v>916</v>
      </c>
    </row>
    <row r="409" spans="1:4" ht="12" customHeight="1">
      <c r="A409" s="194" t="s">
        <v>101</v>
      </c>
      <c r="B409" s="150" t="s">
        <v>943</v>
      </c>
      <c r="C409" s="115" t="s">
        <v>944</v>
      </c>
      <c r="D409" s="75" t="s">
        <v>916</v>
      </c>
    </row>
    <row r="410" spans="1:4" ht="12" customHeight="1">
      <c r="A410" s="194" t="s">
        <v>101</v>
      </c>
      <c r="B410" s="150" t="s">
        <v>945</v>
      </c>
      <c r="C410" s="115" t="s">
        <v>946</v>
      </c>
      <c r="D410" s="75" t="s">
        <v>916</v>
      </c>
    </row>
    <row r="411" spans="1:4" ht="12" customHeight="1">
      <c r="A411" s="194" t="s">
        <v>101</v>
      </c>
      <c r="B411" s="150" t="s">
        <v>947</v>
      </c>
      <c r="C411" s="115" t="s">
        <v>948</v>
      </c>
      <c r="D411" s="75" t="s">
        <v>916</v>
      </c>
    </row>
    <row r="412" spans="1:4" ht="12" customHeight="1">
      <c r="A412" s="194" t="s">
        <v>101</v>
      </c>
      <c r="B412" s="150" t="s">
        <v>949</v>
      </c>
      <c r="C412" s="115" t="s">
        <v>950</v>
      </c>
      <c r="D412" s="75" t="s">
        <v>916</v>
      </c>
    </row>
    <row r="413" spans="1:4" ht="12" customHeight="1">
      <c r="A413" s="194" t="s">
        <v>101</v>
      </c>
      <c r="B413" s="150" t="s">
        <v>951</v>
      </c>
      <c r="C413" s="115" t="s">
        <v>952</v>
      </c>
      <c r="D413" s="75" t="s">
        <v>916</v>
      </c>
    </row>
    <row r="414" spans="1:4" ht="12" customHeight="1">
      <c r="A414" s="194" t="s">
        <v>101</v>
      </c>
      <c r="B414" s="168" t="s">
        <v>953</v>
      </c>
      <c r="C414" s="161" t="s">
        <v>954</v>
      </c>
      <c r="D414" s="75" t="s">
        <v>916</v>
      </c>
    </row>
    <row r="415" spans="1:4" ht="12" customHeight="1">
      <c r="A415" s="194" t="s">
        <v>101</v>
      </c>
      <c r="B415" s="150" t="s">
        <v>955</v>
      </c>
      <c r="C415" s="123" t="s">
        <v>956</v>
      </c>
      <c r="D415" s="75" t="s">
        <v>916</v>
      </c>
    </row>
    <row r="416" spans="1:4" ht="12" customHeight="1">
      <c r="A416" s="194" t="s">
        <v>101</v>
      </c>
      <c r="B416" s="150" t="s">
        <v>957</v>
      </c>
      <c r="C416" s="123" t="s">
        <v>958</v>
      </c>
      <c r="D416" s="75" t="s">
        <v>916</v>
      </c>
    </row>
    <row r="417" spans="1:4" ht="12" customHeight="1">
      <c r="A417" s="194" t="s">
        <v>101</v>
      </c>
      <c r="B417" s="150" t="s">
        <v>959</v>
      </c>
      <c r="C417" s="123" t="s">
        <v>960</v>
      </c>
      <c r="D417" s="75" t="s">
        <v>916</v>
      </c>
    </row>
    <row r="418" spans="1:4" ht="12" customHeight="1">
      <c r="A418" s="194" t="s">
        <v>101</v>
      </c>
      <c r="B418" s="150" t="s">
        <v>961</v>
      </c>
      <c r="C418" s="115" t="s">
        <v>962</v>
      </c>
      <c r="D418" s="75" t="s">
        <v>916</v>
      </c>
    </row>
    <row r="419" spans="1:4" ht="12" customHeight="1">
      <c r="A419" s="194" t="s">
        <v>101</v>
      </c>
      <c r="B419" s="150" t="s">
        <v>963</v>
      </c>
      <c r="C419" s="115" t="s">
        <v>964</v>
      </c>
      <c r="D419" s="75" t="s">
        <v>916</v>
      </c>
    </row>
    <row r="420" spans="1:4" ht="12" customHeight="1">
      <c r="A420" s="194" t="s">
        <v>101</v>
      </c>
      <c r="B420" s="150" t="s">
        <v>965</v>
      </c>
      <c r="C420" s="115" t="s">
        <v>966</v>
      </c>
      <c r="D420" s="75" t="s">
        <v>916</v>
      </c>
    </row>
    <row r="421" spans="1:4" ht="12" customHeight="1">
      <c r="A421" s="194" t="s">
        <v>101</v>
      </c>
      <c r="B421" s="150" t="s">
        <v>967</v>
      </c>
      <c r="C421" s="115" t="s">
        <v>968</v>
      </c>
      <c r="D421" s="75" t="s">
        <v>916</v>
      </c>
    </row>
    <row r="422" spans="1:4" ht="12" customHeight="1">
      <c r="A422" s="194" t="s">
        <v>101</v>
      </c>
      <c r="B422" s="97" t="s">
        <v>969</v>
      </c>
      <c r="C422" s="163" t="s">
        <v>970</v>
      </c>
      <c r="D422" s="75" t="s">
        <v>302</v>
      </c>
    </row>
    <row r="423" spans="1:4" ht="12" customHeight="1">
      <c r="A423" s="196"/>
      <c r="B423" s="97"/>
      <c r="C423" s="157"/>
      <c r="D423" s="77"/>
    </row>
    <row r="424" spans="1:4" ht="12" customHeight="1">
      <c r="A424" s="202"/>
      <c r="B424" s="117"/>
      <c r="C424" s="203"/>
      <c r="D424" s="77"/>
    </row>
    <row r="425" spans="1:4" ht="12" customHeight="1">
      <c r="A425" s="202"/>
      <c r="B425" s="117"/>
      <c r="C425" s="203"/>
      <c r="D425" s="77"/>
    </row>
    <row r="426" spans="1:4" ht="12" customHeight="1">
      <c r="A426" s="202"/>
      <c r="B426" s="141"/>
      <c r="C426" s="118"/>
      <c r="D426" s="77"/>
    </row>
    <row r="427" spans="1:4" ht="12" customHeight="1">
      <c r="A427" s="204"/>
      <c r="B427" s="117"/>
      <c r="C427" s="205"/>
      <c r="D427" s="77"/>
    </row>
    <row r="428" spans="1:4" ht="12" customHeight="1">
      <c r="A428" s="110">
        <v>14</v>
      </c>
      <c r="B428" s="182"/>
      <c r="C428" s="121" t="s">
        <v>971</v>
      </c>
      <c r="D428" s="75"/>
    </row>
    <row r="429" spans="1:4" ht="12" customHeight="1">
      <c r="A429" s="140" t="s">
        <v>103</v>
      </c>
      <c r="B429" s="206" t="s">
        <v>972</v>
      </c>
      <c r="C429" s="97" t="s">
        <v>973</v>
      </c>
      <c r="D429" s="75" t="s">
        <v>974</v>
      </c>
    </row>
    <row r="430" spans="1:4" ht="12" customHeight="1">
      <c r="A430" s="140" t="s">
        <v>103</v>
      </c>
      <c r="B430" s="97" t="s">
        <v>975</v>
      </c>
      <c r="C430" s="97" t="s">
        <v>976</v>
      </c>
      <c r="D430" s="75" t="s">
        <v>974</v>
      </c>
    </row>
    <row r="431" spans="1:4" ht="12" customHeight="1">
      <c r="A431" s="140" t="s">
        <v>103</v>
      </c>
      <c r="B431" s="97" t="s">
        <v>977</v>
      </c>
      <c r="C431" s="97" t="s">
        <v>978</v>
      </c>
      <c r="D431" s="75" t="s">
        <v>974</v>
      </c>
    </row>
    <row r="432" spans="1:4" ht="12" customHeight="1">
      <c r="A432" s="140" t="s">
        <v>103</v>
      </c>
      <c r="B432" s="97" t="s">
        <v>979</v>
      </c>
      <c r="C432" s="97" t="s">
        <v>980</v>
      </c>
      <c r="D432" s="75" t="s">
        <v>974</v>
      </c>
    </row>
    <row r="433" spans="1:4" ht="12" customHeight="1">
      <c r="A433" s="140" t="s">
        <v>103</v>
      </c>
      <c r="B433" s="97" t="s">
        <v>981</v>
      </c>
      <c r="C433" s="97" t="s">
        <v>982</v>
      </c>
      <c r="D433" s="75" t="s">
        <v>974</v>
      </c>
    </row>
    <row r="434" spans="1:4" ht="12" customHeight="1">
      <c r="A434" s="140" t="s">
        <v>103</v>
      </c>
      <c r="B434" s="125" t="s">
        <v>983</v>
      </c>
      <c r="C434" s="126" t="s">
        <v>984</v>
      </c>
      <c r="D434" s="75" t="s">
        <v>974</v>
      </c>
    </row>
    <row r="435" spans="1:4" ht="12" customHeight="1">
      <c r="A435" s="140" t="s">
        <v>103</v>
      </c>
      <c r="B435" s="97" t="s">
        <v>985</v>
      </c>
      <c r="C435" s="97" t="s">
        <v>986</v>
      </c>
      <c r="D435" s="75" t="s">
        <v>974</v>
      </c>
    </row>
    <row r="436" spans="1:4" ht="12" customHeight="1">
      <c r="A436" s="140" t="s">
        <v>103</v>
      </c>
      <c r="B436" s="97" t="s">
        <v>987</v>
      </c>
      <c r="C436" s="97" t="s">
        <v>988</v>
      </c>
      <c r="D436" s="75" t="s">
        <v>974</v>
      </c>
    </row>
    <row r="437" spans="1:4" ht="12" customHeight="1">
      <c r="A437" s="140" t="s">
        <v>103</v>
      </c>
      <c r="B437" s="97" t="s">
        <v>989</v>
      </c>
      <c r="C437" s="97" t="s">
        <v>990</v>
      </c>
      <c r="D437" s="75" t="s">
        <v>974</v>
      </c>
    </row>
    <row r="438" spans="1:4" ht="12" customHeight="1">
      <c r="A438" s="140" t="s">
        <v>103</v>
      </c>
      <c r="B438" s="97" t="s">
        <v>991</v>
      </c>
      <c r="C438" s="97" t="s">
        <v>992</v>
      </c>
      <c r="D438" s="75" t="s">
        <v>974</v>
      </c>
    </row>
    <row r="439" spans="1:4" ht="12" customHeight="1">
      <c r="A439" s="140" t="s">
        <v>103</v>
      </c>
      <c r="B439" s="97" t="s">
        <v>993</v>
      </c>
      <c r="C439" s="97" t="s">
        <v>994</v>
      </c>
      <c r="D439" s="75" t="s">
        <v>974</v>
      </c>
    </row>
    <row r="440" spans="1:4" ht="12" customHeight="1">
      <c r="A440" s="140" t="s">
        <v>103</v>
      </c>
      <c r="B440" s="97" t="s">
        <v>995</v>
      </c>
      <c r="C440" s="97" t="s">
        <v>996</v>
      </c>
      <c r="D440" s="75" t="s">
        <v>974</v>
      </c>
    </row>
    <row r="441" spans="1:4" ht="12" customHeight="1">
      <c r="A441" s="140" t="s">
        <v>103</v>
      </c>
      <c r="B441" s="125" t="s">
        <v>997</v>
      </c>
      <c r="C441" s="115" t="s">
        <v>998</v>
      </c>
      <c r="D441" s="75" t="s">
        <v>974</v>
      </c>
    </row>
    <row r="442" spans="1:4" ht="12" customHeight="1">
      <c r="A442" s="140" t="s">
        <v>103</v>
      </c>
      <c r="B442" s="97" t="s">
        <v>999</v>
      </c>
      <c r="C442" s="97" t="s">
        <v>1000</v>
      </c>
      <c r="D442" s="75" t="s">
        <v>974</v>
      </c>
    </row>
    <row r="443" spans="1:4" ht="12" customHeight="1">
      <c r="A443" s="140" t="s">
        <v>103</v>
      </c>
      <c r="B443" s="97" t="s">
        <v>1001</v>
      </c>
      <c r="C443" s="97" t="s">
        <v>1002</v>
      </c>
      <c r="D443" s="75" t="s">
        <v>974</v>
      </c>
    </row>
    <row r="444" spans="1:4" ht="12" customHeight="1">
      <c r="A444" s="140" t="s">
        <v>103</v>
      </c>
      <c r="B444" s="97" t="s">
        <v>1003</v>
      </c>
      <c r="C444" s="97" t="s">
        <v>1004</v>
      </c>
      <c r="D444" s="75" t="s">
        <v>974</v>
      </c>
    </row>
    <row r="445" spans="1:4" ht="12" customHeight="1">
      <c r="A445" s="140" t="s">
        <v>103</v>
      </c>
      <c r="B445" s="97" t="s">
        <v>1005</v>
      </c>
      <c r="C445" s="97" t="s">
        <v>1006</v>
      </c>
      <c r="D445" s="75" t="s">
        <v>974</v>
      </c>
    </row>
    <row r="446" spans="1:4" ht="12" customHeight="1">
      <c r="A446" s="140" t="s">
        <v>103</v>
      </c>
      <c r="B446" s="97" t="s">
        <v>1007</v>
      </c>
      <c r="C446" s="97" t="s">
        <v>1008</v>
      </c>
      <c r="D446" s="75" t="s">
        <v>974</v>
      </c>
    </row>
    <row r="447" spans="1:4" ht="12" customHeight="1">
      <c r="A447" s="140" t="s">
        <v>103</v>
      </c>
      <c r="B447" s="97" t="s">
        <v>1009</v>
      </c>
      <c r="C447" s="97" t="s">
        <v>1010</v>
      </c>
      <c r="D447" s="75" t="s">
        <v>974</v>
      </c>
    </row>
    <row r="448" spans="1:4" ht="12" customHeight="1">
      <c r="A448" s="140" t="s">
        <v>103</v>
      </c>
      <c r="B448" s="125" t="s">
        <v>1011</v>
      </c>
      <c r="C448" s="115" t="s">
        <v>1012</v>
      </c>
      <c r="D448" s="75" t="s">
        <v>974</v>
      </c>
    </row>
    <row r="449" spans="1:4" ht="12" customHeight="1">
      <c r="A449" s="140" t="s">
        <v>103</v>
      </c>
      <c r="B449" s="97" t="s">
        <v>1013</v>
      </c>
      <c r="C449" s="97" t="s">
        <v>1014</v>
      </c>
      <c r="D449" s="75" t="s">
        <v>974</v>
      </c>
    </row>
    <row r="450" spans="1:4" ht="12" customHeight="1">
      <c r="A450" s="140" t="s">
        <v>103</v>
      </c>
      <c r="B450" s="97" t="s">
        <v>1015</v>
      </c>
      <c r="C450" s="97" t="s">
        <v>1016</v>
      </c>
      <c r="D450" s="75" t="s">
        <v>974</v>
      </c>
    </row>
    <row r="451" spans="1:4" ht="12" customHeight="1">
      <c r="A451" s="140" t="s">
        <v>103</v>
      </c>
      <c r="B451" s="97" t="s">
        <v>1017</v>
      </c>
      <c r="C451" s="97" t="s">
        <v>1018</v>
      </c>
      <c r="D451" s="75" t="s">
        <v>974</v>
      </c>
    </row>
    <row r="452" spans="1:4" ht="12" customHeight="1">
      <c r="A452" s="140" t="s">
        <v>103</v>
      </c>
      <c r="B452" s="97" t="s">
        <v>1019</v>
      </c>
      <c r="C452" s="97" t="s">
        <v>1020</v>
      </c>
      <c r="D452" s="75" t="s">
        <v>974</v>
      </c>
    </row>
    <row r="453" spans="1:4" ht="12" customHeight="1">
      <c r="A453" s="140" t="s">
        <v>103</v>
      </c>
      <c r="B453" s="97" t="s">
        <v>1021</v>
      </c>
      <c r="C453" s="97" t="s">
        <v>982</v>
      </c>
      <c r="D453" s="75" t="s">
        <v>974</v>
      </c>
    </row>
    <row r="454" spans="1:4" ht="12" customHeight="1">
      <c r="A454" s="114" t="s">
        <v>103</v>
      </c>
      <c r="B454" s="97" t="s">
        <v>1022</v>
      </c>
      <c r="C454" s="97" t="s">
        <v>1023</v>
      </c>
      <c r="D454" s="75" t="s">
        <v>974</v>
      </c>
    </row>
    <row r="455" spans="1:4" ht="12" customHeight="1">
      <c r="A455" s="114" t="s">
        <v>103</v>
      </c>
      <c r="B455" s="150" t="s">
        <v>1024</v>
      </c>
      <c r="C455" s="115" t="s">
        <v>1025</v>
      </c>
      <c r="D455" s="75" t="s">
        <v>974</v>
      </c>
    </row>
    <row r="456" spans="1:4" ht="12" customHeight="1">
      <c r="A456" s="114" t="s">
        <v>103</v>
      </c>
      <c r="B456" s="150" t="s">
        <v>1026</v>
      </c>
      <c r="C456" s="115" t="s">
        <v>1027</v>
      </c>
      <c r="D456" s="75" t="s">
        <v>974</v>
      </c>
    </row>
    <row r="457" spans="1:4" ht="12" customHeight="1">
      <c r="A457" s="114" t="s">
        <v>103</v>
      </c>
      <c r="B457" s="150" t="s">
        <v>1028</v>
      </c>
      <c r="C457" s="115" t="s">
        <v>1029</v>
      </c>
      <c r="D457" s="75" t="s">
        <v>974</v>
      </c>
    </row>
    <row r="458" spans="1:4" ht="12" customHeight="1">
      <c r="A458" s="114" t="s">
        <v>103</v>
      </c>
      <c r="B458" s="150" t="s">
        <v>1030</v>
      </c>
      <c r="C458" s="115" t="s">
        <v>1031</v>
      </c>
      <c r="D458" s="75" t="s">
        <v>974</v>
      </c>
    </row>
    <row r="459" spans="1:4" ht="12" customHeight="1">
      <c r="A459" s="140" t="s">
        <v>103</v>
      </c>
      <c r="B459" s="150" t="s">
        <v>1032</v>
      </c>
      <c r="C459" s="115" t="s">
        <v>1033</v>
      </c>
      <c r="D459" s="75" t="s">
        <v>974</v>
      </c>
    </row>
    <row r="460" spans="1:4" ht="12" customHeight="1">
      <c r="A460" s="114" t="s">
        <v>103</v>
      </c>
      <c r="B460" s="150" t="s">
        <v>1034</v>
      </c>
      <c r="C460" s="115" t="s">
        <v>1035</v>
      </c>
      <c r="D460" s="75" t="s">
        <v>974</v>
      </c>
    </row>
    <row r="461" spans="1:4" ht="12" customHeight="1">
      <c r="A461" s="114" t="s">
        <v>103</v>
      </c>
      <c r="B461" s="150" t="s">
        <v>1036</v>
      </c>
      <c r="C461" s="115" t="s">
        <v>1037</v>
      </c>
      <c r="D461" s="75" t="s">
        <v>974</v>
      </c>
    </row>
    <row r="462" spans="1:4" ht="12" customHeight="1">
      <c r="A462" s="114" t="s">
        <v>103</v>
      </c>
      <c r="B462" s="150" t="s">
        <v>1038</v>
      </c>
      <c r="C462" s="115" t="s">
        <v>1039</v>
      </c>
      <c r="D462" s="75" t="s">
        <v>974</v>
      </c>
    </row>
    <row r="463" spans="1:4" ht="12" customHeight="1">
      <c r="A463" s="114" t="s">
        <v>103</v>
      </c>
      <c r="B463" s="150" t="s">
        <v>1040</v>
      </c>
      <c r="C463" s="115" t="s">
        <v>1041</v>
      </c>
      <c r="D463" s="75" t="s">
        <v>974</v>
      </c>
    </row>
    <row r="464" spans="1:4" ht="12" customHeight="1">
      <c r="A464" s="114" t="s">
        <v>103</v>
      </c>
      <c r="B464" s="150" t="s">
        <v>1042</v>
      </c>
      <c r="C464" s="115" t="s">
        <v>1043</v>
      </c>
      <c r="D464" s="75" t="s">
        <v>974</v>
      </c>
    </row>
    <row r="465" spans="1:4" ht="12" customHeight="1">
      <c r="A465" s="114" t="s">
        <v>103</v>
      </c>
      <c r="B465" s="150" t="s">
        <v>1044</v>
      </c>
      <c r="C465" s="115" t="s">
        <v>1045</v>
      </c>
      <c r="D465" s="75" t="s">
        <v>974</v>
      </c>
    </row>
    <row r="466" spans="1:4" ht="12" customHeight="1">
      <c r="A466" s="114" t="s">
        <v>103</v>
      </c>
      <c r="B466" s="150" t="s">
        <v>1046</v>
      </c>
      <c r="C466" s="115" t="s">
        <v>1047</v>
      </c>
      <c r="D466" s="75" t="s">
        <v>974</v>
      </c>
    </row>
    <row r="467" spans="1:4" ht="12" customHeight="1">
      <c r="A467" s="114" t="s">
        <v>103</v>
      </c>
      <c r="B467" s="150" t="s">
        <v>1048</v>
      </c>
      <c r="C467" s="115" t="s">
        <v>1049</v>
      </c>
      <c r="D467" s="75" t="s">
        <v>974</v>
      </c>
    </row>
    <row r="468" spans="1:4" ht="12" customHeight="1">
      <c r="A468" s="114" t="s">
        <v>103</v>
      </c>
      <c r="B468" s="150" t="s">
        <v>1050</v>
      </c>
      <c r="C468" s="115" t="s">
        <v>1051</v>
      </c>
      <c r="D468" s="75" t="s">
        <v>974</v>
      </c>
    </row>
    <row r="469" spans="1:4" ht="12" customHeight="1">
      <c r="A469" s="140" t="s">
        <v>103</v>
      </c>
      <c r="B469" s="150" t="s">
        <v>1052</v>
      </c>
      <c r="C469" s="115" t="s">
        <v>1053</v>
      </c>
      <c r="D469" s="75" t="s">
        <v>974</v>
      </c>
    </row>
    <row r="470" spans="1:4" ht="12" customHeight="1">
      <c r="A470" s="114" t="s">
        <v>103</v>
      </c>
      <c r="B470" s="150" t="s">
        <v>1054</v>
      </c>
      <c r="C470" s="115" t="s">
        <v>1055</v>
      </c>
      <c r="D470" s="75" t="s">
        <v>974</v>
      </c>
    </row>
    <row r="471" spans="1:4" ht="12" customHeight="1">
      <c r="A471" s="114" t="s">
        <v>103</v>
      </c>
      <c r="B471" s="150" t="s">
        <v>1056</v>
      </c>
      <c r="C471" s="115" t="s">
        <v>1057</v>
      </c>
      <c r="D471" s="75" t="s">
        <v>974</v>
      </c>
    </row>
    <row r="472" spans="1:4" ht="12" customHeight="1">
      <c r="A472" s="114" t="s">
        <v>103</v>
      </c>
      <c r="B472" s="150" t="s">
        <v>1058</v>
      </c>
      <c r="C472" s="115" t="s">
        <v>1059</v>
      </c>
      <c r="D472" s="75" t="s">
        <v>974</v>
      </c>
    </row>
    <row r="473" spans="1:4" ht="12" customHeight="1">
      <c r="A473" s="114" t="s">
        <v>103</v>
      </c>
      <c r="B473" s="150" t="s">
        <v>1060</v>
      </c>
      <c r="C473" s="115" t="s">
        <v>1061</v>
      </c>
      <c r="D473" s="75" t="s">
        <v>974</v>
      </c>
    </row>
    <row r="474" spans="1:4" ht="12" customHeight="1">
      <c r="A474" s="114" t="s">
        <v>103</v>
      </c>
      <c r="B474" s="150" t="s">
        <v>1062</v>
      </c>
      <c r="C474" s="126" t="s">
        <v>1063</v>
      </c>
      <c r="D474" s="75" t="s">
        <v>974</v>
      </c>
    </row>
    <row r="475" spans="1:4" ht="12" customHeight="1">
      <c r="A475" s="114" t="s">
        <v>103</v>
      </c>
      <c r="B475" s="150" t="s">
        <v>1064</v>
      </c>
      <c r="C475" s="123" t="s">
        <v>1065</v>
      </c>
      <c r="D475" s="75" t="s">
        <v>974</v>
      </c>
    </row>
    <row r="476" spans="1:4" ht="12" customHeight="1">
      <c r="A476" s="114" t="s">
        <v>103</v>
      </c>
      <c r="B476" s="150" t="s">
        <v>1066</v>
      </c>
      <c r="C476" s="115" t="s">
        <v>1067</v>
      </c>
      <c r="D476" s="75" t="s">
        <v>974</v>
      </c>
    </row>
    <row r="477" spans="1:4" ht="12" customHeight="1">
      <c r="A477" s="114" t="s">
        <v>103</v>
      </c>
      <c r="B477" s="97" t="s">
        <v>1068</v>
      </c>
      <c r="C477" s="97" t="s">
        <v>1069</v>
      </c>
      <c r="D477" s="75" t="s">
        <v>974</v>
      </c>
    </row>
    <row r="478" spans="1:4" ht="12" customHeight="1">
      <c r="A478" s="114" t="s">
        <v>103</v>
      </c>
      <c r="B478" s="150" t="s">
        <v>1070</v>
      </c>
      <c r="C478" s="115" t="s">
        <v>1071</v>
      </c>
      <c r="D478" s="75" t="s">
        <v>974</v>
      </c>
    </row>
    <row r="479" spans="1:4" ht="12" customHeight="1">
      <c r="A479" s="114" t="s">
        <v>103</v>
      </c>
      <c r="B479" s="150" t="s">
        <v>1072</v>
      </c>
      <c r="C479" s="115" t="s">
        <v>1073</v>
      </c>
      <c r="D479" s="75" t="s">
        <v>974</v>
      </c>
    </row>
    <row r="480" spans="1:4" ht="12" customHeight="1">
      <c r="A480" s="114" t="s">
        <v>103</v>
      </c>
      <c r="B480" s="150" t="s">
        <v>1074</v>
      </c>
      <c r="C480" s="115" t="s">
        <v>1075</v>
      </c>
      <c r="D480" s="75" t="s">
        <v>974</v>
      </c>
    </row>
    <row r="481" spans="1:4" ht="12" customHeight="1">
      <c r="A481" s="114" t="s">
        <v>103</v>
      </c>
      <c r="B481" s="207" t="s">
        <v>1076</v>
      </c>
      <c r="C481" s="126" t="s">
        <v>1077</v>
      </c>
      <c r="D481" s="75" t="s">
        <v>974</v>
      </c>
    </row>
    <row r="482" spans="1:4" ht="12" customHeight="1">
      <c r="A482" s="114" t="s">
        <v>103</v>
      </c>
      <c r="B482" s="150" t="s">
        <v>1078</v>
      </c>
      <c r="C482" s="126" t="s">
        <v>1079</v>
      </c>
      <c r="D482" s="75" t="s">
        <v>974</v>
      </c>
    </row>
    <row r="483" spans="1:4" ht="12" customHeight="1">
      <c r="A483" s="114" t="s">
        <v>103</v>
      </c>
      <c r="B483" s="150" t="s">
        <v>1080</v>
      </c>
      <c r="C483" s="126" t="s">
        <v>1081</v>
      </c>
      <c r="D483" s="75" t="s">
        <v>974</v>
      </c>
    </row>
    <row r="484" spans="1:4" ht="12" customHeight="1">
      <c r="A484" s="114" t="s">
        <v>103</v>
      </c>
      <c r="B484" s="150" t="s">
        <v>1082</v>
      </c>
      <c r="C484" s="123" t="s">
        <v>1083</v>
      </c>
      <c r="D484" s="75" t="s">
        <v>974</v>
      </c>
    </row>
    <row r="485" spans="1:4" ht="12" customHeight="1">
      <c r="A485" s="114" t="s">
        <v>103</v>
      </c>
      <c r="B485" s="150" t="s">
        <v>1084</v>
      </c>
      <c r="C485" s="115" t="s">
        <v>1085</v>
      </c>
      <c r="D485" s="75" t="s">
        <v>974</v>
      </c>
    </row>
    <row r="486" spans="1:4" ht="12" customHeight="1">
      <c r="A486" s="114" t="s">
        <v>103</v>
      </c>
      <c r="B486" s="150" t="s">
        <v>1086</v>
      </c>
      <c r="C486" s="115" t="s">
        <v>1087</v>
      </c>
      <c r="D486" s="75" t="s">
        <v>974</v>
      </c>
    </row>
    <row r="487" spans="1:4" ht="12" customHeight="1">
      <c r="A487" s="114" t="s">
        <v>103</v>
      </c>
      <c r="B487" s="150" t="s">
        <v>1088</v>
      </c>
      <c r="C487" s="115" t="s">
        <v>1089</v>
      </c>
      <c r="D487" s="75" t="s">
        <v>974</v>
      </c>
    </row>
    <row r="488" spans="1:4" ht="12" customHeight="1">
      <c r="A488" s="114" t="s">
        <v>103</v>
      </c>
      <c r="B488" s="150" t="s">
        <v>2169</v>
      </c>
      <c r="C488" s="115" t="s">
        <v>2170</v>
      </c>
      <c r="D488" s="75" t="s">
        <v>974</v>
      </c>
    </row>
    <row r="489" spans="1:4" ht="12" customHeight="1">
      <c r="A489" s="114" t="s">
        <v>103</v>
      </c>
      <c r="B489" s="97" t="s">
        <v>1090</v>
      </c>
      <c r="C489" s="97" t="s">
        <v>1091</v>
      </c>
      <c r="D489" s="75" t="s">
        <v>974</v>
      </c>
    </row>
    <row r="490" spans="1:4" ht="12" customHeight="1">
      <c r="A490" s="114" t="s">
        <v>103</v>
      </c>
      <c r="B490" s="150" t="s">
        <v>1092</v>
      </c>
      <c r="C490" s="115" t="s">
        <v>1093</v>
      </c>
      <c r="D490" s="75" t="s">
        <v>974</v>
      </c>
    </row>
    <row r="491" spans="1:4" ht="12" customHeight="1">
      <c r="A491" s="114" t="s">
        <v>103</v>
      </c>
      <c r="B491" s="150" t="s">
        <v>1094</v>
      </c>
      <c r="C491" s="115" t="s">
        <v>1095</v>
      </c>
      <c r="D491" s="75" t="s">
        <v>974</v>
      </c>
    </row>
    <row r="492" spans="1:4" ht="12" customHeight="1">
      <c r="A492" s="114" t="s">
        <v>103</v>
      </c>
      <c r="B492" s="150" t="s">
        <v>1096</v>
      </c>
      <c r="C492" s="115" t="s">
        <v>1097</v>
      </c>
      <c r="D492" s="75" t="s">
        <v>974</v>
      </c>
    </row>
    <row r="493" spans="1:4" ht="12" customHeight="1">
      <c r="A493" s="114" t="s">
        <v>103</v>
      </c>
      <c r="B493" s="150" t="s">
        <v>1098</v>
      </c>
      <c r="C493" s="115" t="s">
        <v>1099</v>
      </c>
      <c r="D493" s="75" t="s">
        <v>974</v>
      </c>
    </row>
    <row r="494" spans="1:4" ht="12" customHeight="1">
      <c r="A494" s="114" t="s">
        <v>103</v>
      </c>
      <c r="B494" s="150" t="s">
        <v>1100</v>
      </c>
      <c r="C494" s="115" t="s">
        <v>1101</v>
      </c>
      <c r="D494" s="75" t="s">
        <v>974</v>
      </c>
    </row>
    <row r="495" spans="1:4" ht="12" customHeight="1">
      <c r="A495" s="114" t="s">
        <v>103</v>
      </c>
      <c r="B495" s="150" t="s">
        <v>1102</v>
      </c>
      <c r="C495" s="115" t="s">
        <v>1103</v>
      </c>
      <c r="D495" s="75" t="s">
        <v>974</v>
      </c>
    </row>
    <row r="496" spans="1:4" ht="12" customHeight="1">
      <c r="A496" s="114" t="s">
        <v>103</v>
      </c>
      <c r="B496" s="150" t="s">
        <v>1104</v>
      </c>
      <c r="C496" s="115" t="s">
        <v>1105</v>
      </c>
      <c r="D496" s="75" t="s">
        <v>974</v>
      </c>
    </row>
    <row r="497" spans="1:4" ht="12" customHeight="1">
      <c r="A497" s="114" t="s">
        <v>103</v>
      </c>
      <c r="B497" s="150" t="s">
        <v>1106</v>
      </c>
      <c r="C497" s="115" t="s">
        <v>1107</v>
      </c>
      <c r="D497" s="75" t="s">
        <v>974</v>
      </c>
    </row>
    <row r="498" spans="1:4" ht="12" customHeight="1">
      <c r="A498" s="114" t="s">
        <v>103</v>
      </c>
      <c r="B498" s="150" t="s">
        <v>1108</v>
      </c>
      <c r="C498" s="126" t="s">
        <v>1109</v>
      </c>
      <c r="D498" s="75" t="s">
        <v>974</v>
      </c>
    </row>
    <row r="499" spans="1:4" ht="12" customHeight="1">
      <c r="A499" s="114" t="s">
        <v>103</v>
      </c>
      <c r="B499" s="150" t="s">
        <v>1110</v>
      </c>
      <c r="C499" s="123" t="s">
        <v>1111</v>
      </c>
      <c r="D499" s="75" t="s">
        <v>974</v>
      </c>
    </row>
    <row r="500" spans="1:4" ht="12" customHeight="1">
      <c r="A500" s="114" t="s">
        <v>103</v>
      </c>
      <c r="B500" s="150" t="s">
        <v>1112</v>
      </c>
      <c r="C500" s="115" t="s">
        <v>1065</v>
      </c>
      <c r="D500" s="75" t="s">
        <v>974</v>
      </c>
    </row>
    <row r="501" spans="1:4" ht="12" customHeight="1">
      <c r="A501" s="114" t="s">
        <v>103</v>
      </c>
      <c r="B501" s="150" t="s">
        <v>1113</v>
      </c>
      <c r="C501" s="115" t="s">
        <v>1114</v>
      </c>
      <c r="D501" s="75" t="s">
        <v>974</v>
      </c>
    </row>
    <row r="502" spans="1:4" ht="12" customHeight="1">
      <c r="A502" s="114" t="s">
        <v>103</v>
      </c>
      <c r="B502" s="150" t="s">
        <v>2171</v>
      </c>
      <c r="C502" s="115" t="s">
        <v>2172</v>
      </c>
      <c r="D502" s="75" t="s">
        <v>974</v>
      </c>
    </row>
    <row r="503" spans="1:4" ht="12" customHeight="1">
      <c r="A503" s="114" t="s">
        <v>103</v>
      </c>
      <c r="B503" s="97" t="s">
        <v>1115</v>
      </c>
      <c r="C503" s="97" t="s">
        <v>1116</v>
      </c>
      <c r="D503" s="75" t="s">
        <v>714</v>
      </c>
    </row>
    <row r="504" spans="1:4" ht="12" customHeight="1">
      <c r="A504" s="114" t="s">
        <v>103</v>
      </c>
      <c r="B504" s="97" t="s">
        <v>1117</v>
      </c>
      <c r="C504" s="163" t="s">
        <v>1118</v>
      </c>
      <c r="D504" s="75" t="s">
        <v>974</v>
      </c>
    </row>
    <row r="505" spans="1:4" ht="12" customHeight="1">
      <c r="A505" s="114" t="s">
        <v>103</v>
      </c>
      <c r="B505" s="208" t="s">
        <v>1119</v>
      </c>
      <c r="C505" s="115" t="s">
        <v>1120</v>
      </c>
      <c r="D505" s="75" t="s">
        <v>974</v>
      </c>
    </row>
    <row r="506" spans="1:4" ht="12" customHeight="1">
      <c r="A506" s="114" t="s">
        <v>103</v>
      </c>
      <c r="B506" s="97" t="s">
        <v>1121</v>
      </c>
      <c r="C506" s="97" t="s">
        <v>1122</v>
      </c>
      <c r="D506" s="75" t="s">
        <v>974</v>
      </c>
    </row>
    <row r="507" spans="1:4" ht="12" customHeight="1">
      <c r="A507" s="114" t="s">
        <v>103</v>
      </c>
      <c r="B507" s="97" t="s">
        <v>1123</v>
      </c>
      <c r="C507" s="97" t="s">
        <v>1124</v>
      </c>
      <c r="D507" s="75" t="s">
        <v>974</v>
      </c>
    </row>
    <row r="508" spans="1:4" ht="12" customHeight="1">
      <c r="A508" s="114" t="s">
        <v>103</v>
      </c>
      <c r="B508" s="97" t="s">
        <v>1125</v>
      </c>
      <c r="C508" s="97" t="s">
        <v>1126</v>
      </c>
      <c r="D508" s="75" t="s">
        <v>974</v>
      </c>
    </row>
    <row r="509" spans="1:4" ht="12" customHeight="1">
      <c r="A509" s="114" t="s">
        <v>103</v>
      </c>
      <c r="B509" s="97" t="s">
        <v>1127</v>
      </c>
      <c r="C509" s="97" t="s">
        <v>1128</v>
      </c>
      <c r="D509" s="75" t="s">
        <v>974</v>
      </c>
    </row>
    <row r="510" spans="1:4" ht="12" customHeight="1">
      <c r="A510" s="114" t="s">
        <v>103</v>
      </c>
      <c r="B510" s="97" t="s">
        <v>1129</v>
      </c>
      <c r="C510" s="97" t="s">
        <v>1130</v>
      </c>
      <c r="D510" s="75" t="s">
        <v>974</v>
      </c>
    </row>
    <row r="511" spans="1:4" ht="12" customHeight="1">
      <c r="A511" s="114" t="s">
        <v>103</v>
      </c>
      <c r="B511" s="97" t="s">
        <v>1131</v>
      </c>
      <c r="C511" s="97" t="s">
        <v>1132</v>
      </c>
      <c r="D511" s="75" t="s">
        <v>974</v>
      </c>
    </row>
    <row r="512" spans="1:4" ht="12" customHeight="1">
      <c r="A512" s="114" t="s">
        <v>103</v>
      </c>
      <c r="B512" s="97" t="s">
        <v>1133</v>
      </c>
      <c r="C512" s="97" t="s">
        <v>1134</v>
      </c>
      <c r="D512" s="75" t="s">
        <v>974</v>
      </c>
    </row>
    <row r="513" spans="1:4" ht="12" customHeight="1">
      <c r="A513" s="114" t="s">
        <v>103</v>
      </c>
      <c r="B513" s="97" t="s">
        <v>1135</v>
      </c>
      <c r="C513" s="97" t="s">
        <v>1136</v>
      </c>
      <c r="D513" s="75" t="s">
        <v>974</v>
      </c>
    </row>
    <row r="514" spans="1:4" ht="12" customHeight="1">
      <c r="A514" s="114" t="s">
        <v>103</v>
      </c>
      <c r="B514" s="97" t="s">
        <v>1137</v>
      </c>
      <c r="C514" s="97" t="s">
        <v>1138</v>
      </c>
      <c r="D514" s="75" t="s">
        <v>974</v>
      </c>
    </row>
    <row r="515" spans="1:4">
      <c r="A515" s="114" t="s">
        <v>103</v>
      </c>
      <c r="B515" s="97" t="s">
        <v>1139</v>
      </c>
      <c r="C515" s="97" t="s">
        <v>1140</v>
      </c>
      <c r="D515" s="75" t="s">
        <v>974</v>
      </c>
    </row>
    <row r="516" spans="1:4" ht="12" customHeight="1">
      <c r="A516" s="114" t="s">
        <v>103</v>
      </c>
      <c r="B516" s="208" t="s">
        <v>1141</v>
      </c>
      <c r="C516" s="123" t="s">
        <v>1142</v>
      </c>
      <c r="D516" s="75" t="s">
        <v>974</v>
      </c>
    </row>
    <row r="517" spans="1:4" ht="24.75">
      <c r="A517" s="114" t="s">
        <v>103</v>
      </c>
      <c r="B517" s="97" t="s">
        <v>1143</v>
      </c>
      <c r="C517" s="97" t="s">
        <v>1144</v>
      </c>
      <c r="D517" s="75" t="s">
        <v>974</v>
      </c>
    </row>
    <row r="518" spans="1:4">
      <c r="A518" s="114" t="s">
        <v>103</v>
      </c>
      <c r="B518" s="208" t="s">
        <v>1145</v>
      </c>
      <c r="C518" s="126" t="s">
        <v>1146</v>
      </c>
      <c r="D518" s="75" t="s">
        <v>974</v>
      </c>
    </row>
    <row r="519" spans="1:4" ht="12" customHeight="1">
      <c r="A519" s="114" t="s">
        <v>103</v>
      </c>
      <c r="B519" s="97" t="s">
        <v>1147</v>
      </c>
      <c r="C519" s="97" t="s">
        <v>2017</v>
      </c>
      <c r="D519" s="75" t="s">
        <v>974</v>
      </c>
    </row>
    <row r="520" spans="1:4" ht="12" customHeight="1">
      <c r="A520" s="114" t="s">
        <v>103</v>
      </c>
      <c r="B520" s="97" t="s">
        <v>1148</v>
      </c>
      <c r="C520" s="97" t="s">
        <v>2018</v>
      </c>
      <c r="D520" s="75" t="s">
        <v>974</v>
      </c>
    </row>
    <row r="521" spans="1:4" ht="12" customHeight="1">
      <c r="A521" s="114" t="s">
        <v>103</v>
      </c>
      <c r="B521" s="97" t="s">
        <v>1149</v>
      </c>
      <c r="C521" s="97" t="s">
        <v>1150</v>
      </c>
      <c r="D521" s="75" t="s">
        <v>974</v>
      </c>
    </row>
    <row r="522" spans="1:4" ht="12" customHeight="1">
      <c r="A522" s="114" t="s">
        <v>103</v>
      </c>
      <c r="B522" s="97" t="s">
        <v>1151</v>
      </c>
      <c r="C522" s="97" t="s">
        <v>1152</v>
      </c>
      <c r="D522" s="75" t="s">
        <v>1153</v>
      </c>
    </row>
    <row r="523" spans="1:4" ht="12" customHeight="1">
      <c r="A523" s="114" t="s">
        <v>103</v>
      </c>
      <c r="B523" s="125" t="s">
        <v>1154</v>
      </c>
      <c r="C523" s="126" t="s">
        <v>2019</v>
      </c>
      <c r="D523" s="75" t="s">
        <v>974</v>
      </c>
    </row>
    <row r="524" spans="1:4" ht="12" customHeight="1">
      <c r="A524" s="114" t="s">
        <v>103</v>
      </c>
      <c r="B524" s="119" t="s">
        <v>1155</v>
      </c>
      <c r="C524" s="126" t="s">
        <v>2020</v>
      </c>
      <c r="D524" s="75" t="s">
        <v>974</v>
      </c>
    </row>
    <row r="525" spans="1:4" ht="12" customHeight="1">
      <c r="A525" s="114" t="s">
        <v>103</v>
      </c>
      <c r="B525" s="97" t="s">
        <v>1156</v>
      </c>
      <c r="C525" s="97" t="s">
        <v>1157</v>
      </c>
      <c r="D525" s="75" t="s">
        <v>974</v>
      </c>
    </row>
    <row r="526" spans="1:4" ht="12" customHeight="1">
      <c r="A526" s="114" t="s">
        <v>103</v>
      </c>
      <c r="B526" s="97" t="s">
        <v>1158</v>
      </c>
      <c r="C526" s="97" t="s">
        <v>2021</v>
      </c>
      <c r="D526" s="75" t="s">
        <v>974</v>
      </c>
    </row>
    <row r="527" spans="1:4" ht="12" customHeight="1">
      <c r="A527" s="114" t="s">
        <v>103</v>
      </c>
      <c r="B527" s="97" t="s">
        <v>1159</v>
      </c>
      <c r="C527" s="97" t="s">
        <v>1160</v>
      </c>
      <c r="D527" s="75" t="s">
        <v>974</v>
      </c>
    </row>
    <row r="528" spans="1:4" ht="12" customHeight="1">
      <c r="A528" s="114" t="s">
        <v>103</v>
      </c>
      <c r="B528" s="97" t="s">
        <v>1161</v>
      </c>
      <c r="C528" s="97" t="s">
        <v>2022</v>
      </c>
      <c r="D528" s="75" t="s">
        <v>974</v>
      </c>
    </row>
    <row r="529" spans="1:4" ht="12" customHeight="1">
      <c r="A529" s="114" t="s">
        <v>103</v>
      </c>
      <c r="B529" s="97" t="s">
        <v>1162</v>
      </c>
      <c r="C529" s="97" t="s">
        <v>2023</v>
      </c>
      <c r="D529" s="75" t="s">
        <v>974</v>
      </c>
    </row>
    <row r="530" spans="1:4" ht="12" customHeight="1">
      <c r="A530" s="114" t="s">
        <v>103</v>
      </c>
      <c r="B530" s="97" t="s">
        <v>1163</v>
      </c>
      <c r="C530" s="97" t="s">
        <v>2024</v>
      </c>
      <c r="D530" s="75" t="s">
        <v>974</v>
      </c>
    </row>
    <row r="531" spans="1:4" ht="12" customHeight="1">
      <c r="A531" s="114" t="s">
        <v>103</v>
      </c>
      <c r="B531" s="97" t="s">
        <v>1164</v>
      </c>
      <c r="C531" s="97" t="s">
        <v>1165</v>
      </c>
      <c r="D531" s="75" t="s">
        <v>974</v>
      </c>
    </row>
    <row r="532" spans="1:4" ht="12" customHeight="1">
      <c r="A532" s="114" t="s">
        <v>103</v>
      </c>
      <c r="B532" s="97" t="s">
        <v>1166</v>
      </c>
      <c r="C532" s="97" t="s">
        <v>1167</v>
      </c>
      <c r="D532" s="75" t="s">
        <v>1153</v>
      </c>
    </row>
    <row r="533" spans="1:4" ht="12" customHeight="1">
      <c r="A533" s="114" t="s">
        <v>105</v>
      </c>
      <c r="B533" s="97" t="s">
        <v>1168</v>
      </c>
      <c r="C533" s="97" t="s">
        <v>1169</v>
      </c>
      <c r="D533" s="75" t="s">
        <v>974</v>
      </c>
    </row>
    <row r="534" spans="1:4" ht="12" customHeight="1">
      <c r="A534" s="114" t="s">
        <v>107</v>
      </c>
      <c r="B534" s="97" t="s">
        <v>1170</v>
      </c>
      <c r="C534" s="97" t="s">
        <v>1171</v>
      </c>
      <c r="D534" s="75" t="s">
        <v>974</v>
      </c>
    </row>
    <row r="535" spans="1:4" ht="12" customHeight="1">
      <c r="A535" s="114" t="s">
        <v>107</v>
      </c>
      <c r="B535" s="97" t="s">
        <v>1172</v>
      </c>
      <c r="C535" s="97" t="s">
        <v>1173</v>
      </c>
      <c r="D535" s="75" t="s">
        <v>974</v>
      </c>
    </row>
    <row r="536" spans="1:4" ht="12" customHeight="1">
      <c r="A536" s="114"/>
      <c r="B536" s="209"/>
      <c r="C536" s="210"/>
      <c r="D536" s="77"/>
    </row>
    <row r="537" spans="1:4" ht="12" customHeight="1">
      <c r="A537" s="114"/>
      <c r="B537" s="117"/>
      <c r="C537" s="211"/>
      <c r="D537" s="77"/>
    </row>
    <row r="538" spans="1:4" ht="12" customHeight="1">
      <c r="A538" s="114"/>
      <c r="B538" s="212"/>
      <c r="C538" s="157"/>
      <c r="D538" s="77"/>
    </row>
    <row r="539" spans="1:4" ht="12" customHeight="1">
      <c r="A539" s="110">
        <v>15</v>
      </c>
      <c r="B539" s="192"/>
      <c r="C539" s="213" t="s">
        <v>1174</v>
      </c>
      <c r="D539" s="75"/>
    </row>
    <row r="540" spans="1:4" ht="12" customHeight="1">
      <c r="A540" s="114" t="s">
        <v>109</v>
      </c>
      <c r="B540" s="206" t="s">
        <v>1175</v>
      </c>
      <c r="C540" s="97" t="s">
        <v>1176</v>
      </c>
      <c r="D540" s="84" t="s">
        <v>974</v>
      </c>
    </row>
    <row r="541" spans="1:4" ht="24.75">
      <c r="A541" s="114" t="s">
        <v>109</v>
      </c>
      <c r="B541" s="206" t="s">
        <v>1177</v>
      </c>
      <c r="C541" s="97" t="s">
        <v>1178</v>
      </c>
      <c r="D541" s="84" t="s">
        <v>974</v>
      </c>
    </row>
    <row r="542" spans="1:4" ht="24.75">
      <c r="A542" s="114" t="s">
        <v>109</v>
      </c>
      <c r="B542" s="206" t="s">
        <v>1179</v>
      </c>
      <c r="C542" s="97" t="s">
        <v>1180</v>
      </c>
      <c r="D542" s="84" t="s">
        <v>974</v>
      </c>
    </row>
    <row r="543" spans="1:4" ht="12" customHeight="1">
      <c r="A543" s="114" t="s">
        <v>109</v>
      </c>
      <c r="B543" s="206" t="s">
        <v>1181</v>
      </c>
      <c r="C543" s="97" t="s">
        <v>1182</v>
      </c>
      <c r="D543" s="84" t="s">
        <v>974</v>
      </c>
    </row>
    <row r="544" spans="1:4" ht="24.75">
      <c r="A544" s="114" t="s">
        <v>109</v>
      </c>
      <c r="B544" s="206" t="s">
        <v>1183</v>
      </c>
      <c r="C544" s="97" t="s">
        <v>1184</v>
      </c>
      <c r="D544" s="84" t="s">
        <v>974</v>
      </c>
    </row>
    <row r="545" spans="1:4" ht="12" customHeight="1">
      <c r="A545" s="114"/>
      <c r="B545" s="182"/>
      <c r="C545" s="183"/>
      <c r="D545" s="75"/>
    </row>
    <row r="546" spans="1:4" ht="12" customHeight="1">
      <c r="A546" s="114"/>
      <c r="B546" s="192"/>
      <c r="C546" s="126"/>
      <c r="D546" s="75"/>
    </row>
    <row r="547" spans="1:4" ht="12" customHeight="1">
      <c r="A547" s="114" t="s">
        <v>111</v>
      </c>
      <c r="B547" s="168"/>
      <c r="C547" s="170" t="s">
        <v>1185</v>
      </c>
      <c r="D547" s="75"/>
    </row>
    <row r="548" spans="1:4" ht="12" customHeight="1">
      <c r="A548" s="114" t="s">
        <v>111</v>
      </c>
      <c r="B548" s="97" t="s">
        <v>1186</v>
      </c>
      <c r="C548" s="97" t="s">
        <v>2025</v>
      </c>
      <c r="D548" s="75" t="s">
        <v>1997</v>
      </c>
    </row>
    <row r="549" spans="1:4" ht="12" customHeight="1">
      <c r="A549" s="114" t="s">
        <v>111</v>
      </c>
      <c r="B549" s="97" t="s">
        <v>1187</v>
      </c>
      <c r="C549" s="97" t="s">
        <v>2026</v>
      </c>
      <c r="D549" s="75" t="s">
        <v>1997</v>
      </c>
    </row>
    <row r="550" spans="1:4" ht="12" customHeight="1">
      <c r="A550" s="114" t="s">
        <v>111</v>
      </c>
      <c r="B550" s="97" t="s">
        <v>1188</v>
      </c>
      <c r="C550" s="97" t="s">
        <v>2027</v>
      </c>
      <c r="D550" s="75" t="s">
        <v>1997</v>
      </c>
    </row>
    <row r="551" spans="1:4" ht="12" customHeight="1">
      <c r="A551" s="114" t="s">
        <v>111</v>
      </c>
      <c r="B551" s="97" t="s">
        <v>1189</v>
      </c>
      <c r="C551" s="97" t="s">
        <v>2028</v>
      </c>
      <c r="D551" s="75" t="s">
        <v>1997</v>
      </c>
    </row>
    <row r="552" spans="1:4" ht="12" customHeight="1">
      <c r="A552" s="114" t="s">
        <v>111</v>
      </c>
      <c r="B552" s="97" t="s">
        <v>1190</v>
      </c>
      <c r="C552" s="97" t="s">
        <v>2029</v>
      </c>
      <c r="D552" s="75" t="s">
        <v>1997</v>
      </c>
    </row>
    <row r="553" spans="1:4" ht="12" customHeight="1">
      <c r="A553" s="114" t="s">
        <v>111</v>
      </c>
      <c r="B553" s="97" t="s">
        <v>1191</v>
      </c>
      <c r="C553" s="97" t="s">
        <v>2030</v>
      </c>
      <c r="D553" s="75" t="s">
        <v>1997</v>
      </c>
    </row>
    <row r="554" spans="1:4" ht="12" customHeight="1">
      <c r="A554" s="114" t="s">
        <v>111</v>
      </c>
      <c r="B554" s="97" t="s">
        <v>1192</v>
      </c>
      <c r="C554" s="97" t="s">
        <v>2031</v>
      </c>
      <c r="D554" s="75" t="s">
        <v>1997</v>
      </c>
    </row>
    <row r="555" spans="1:4" ht="12" customHeight="1">
      <c r="A555" s="114" t="s">
        <v>111</v>
      </c>
      <c r="B555" s="97" t="s">
        <v>1193</v>
      </c>
      <c r="C555" s="97" t="s">
        <v>2032</v>
      </c>
      <c r="D555" s="75" t="s">
        <v>1997</v>
      </c>
    </row>
    <row r="556" spans="1:4" ht="12" customHeight="1">
      <c r="A556" s="114" t="s">
        <v>111</v>
      </c>
      <c r="B556" s="168" t="s">
        <v>1194</v>
      </c>
      <c r="C556" s="155" t="s">
        <v>2033</v>
      </c>
      <c r="D556" s="75" t="s">
        <v>1997</v>
      </c>
    </row>
    <row r="557" spans="1:4" ht="12" customHeight="1">
      <c r="A557" s="114" t="s">
        <v>111</v>
      </c>
      <c r="B557" s="214" t="s">
        <v>1195</v>
      </c>
      <c r="C557" s="161" t="s">
        <v>2034</v>
      </c>
      <c r="D557" s="75" t="s">
        <v>1997</v>
      </c>
    </row>
    <row r="558" spans="1:4" ht="12" customHeight="1">
      <c r="A558" s="114" t="s">
        <v>111</v>
      </c>
      <c r="B558" s="214" t="s">
        <v>1196</v>
      </c>
      <c r="C558" s="161" t="s">
        <v>2035</v>
      </c>
      <c r="D558" s="75" t="s">
        <v>1997</v>
      </c>
    </row>
    <row r="559" spans="1:4" ht="12" customHeight="1">
      <c r="A559" s="114" t="s">
        <v>111</v>
      </c>
      <c r="B559" s="214" t="s">
        <v>1197</v>
      </c>
      <c r="C559" s="161" t="s">
        <v>2036</v>
      </c>
      <c r="D559" s="75" t="s">
        <v>1997</v>
      </c>
    </row>
    <row r="560" spans="1:4" ht="12" customHeight="1">
      <c r="A560" s="114" t="s">
        <v>111</v>
      </c>
      <c r="B560" s="214" t="s">
        <v>1198</v>
      </c>
      <c r="C560" s="161" t="s">
        <v>2037</v>
      </c>
      <c r="D560" s="75" t="s">
        <v>1997</v>
      </c>
    </row>
    <row r="561" spans="1:4" ht="12" customHeight="1">
      <c r="A561" s="114" t="s">
        <v>111</v>
      </c>
      <c r="B561" s="214" t="s">
        <v>1199</v>
      </c>
      <c r="C561" s="161" t="s">
        <v>2038</v>
      </c>
      <c r="D561" s="75" t="s">
        <v>1997</v>
      </c>
    </row>
    <row r="562" spans="1:4" ht="12" customHeight="1">
      <c r="A562" s="114" t="s">
        <v>111</v>
      </c>
      <c r="B562" s="214" t="s">
        <v>2039</v>
      </c>
      <c r="C562" s="161" t="s">
        <v>2040</v>
      </c>
      <c r="D562" s="75" t="s">
        <v>1997</v>
      </c>
    </row>
    <row r="563" spans="1:4" ht="12" customHeight="1">
      <c r="A563" s="114" t="s">
        <v>111</v>
      </c>
      <c r="B563" s="215" t="s">
        <v>1200</v>
      </c>
      <c r="C563" s="161" t="s">
        <v>2041</v>
      </c>
      <c r="D563" s="75" t="s">
        <v>1997</v>
      </c>
    </row>
    <row r="564" spans="1:4" ht="12" customHeight="1">
      <c r="A564" s="114" t="s">
        <v>111</v>
      </c>
      <c r="B564" s="216" t="s">
        <v>1201</v>
      </c>
      <c r="C564" s="164" t="s">
        <v>2201</v>
      </c>
      <c r="D564" s="75" t="s">
        <v>1997</v>
      </c>
    </row>
    <row r="565" spans="1:4" ht="12" customHeight="1">
      <c r="A565" s="148" t="s">
        <v>111</v>
      </c>
      <c r="B565" s="168" t="s">
        <v>2042</v>
      </c>
      <c r="C565" s="161" t="s">
        <v>2043</v>
      </c>
      <c r="D565" s="75" t="s">
        <v>1997</v>
      </c>
    </row>
    <row r="566" spans="1:4" ht="12" customHeight="1">
      <c r="A566" s="114" t="s">
        <v>111</v>
      </c>
      <c r="B566" s="168" t="s">
        <v>2044</v>
      </c>
      <c r="C566" s="161" t="s">
        <v>2045</v>
      </c>
      <c r="D566" s="75" t="s">
        <v>1997</v>
      </c>
    </row>
    <row r="567" spans="1:4" ht="12" customHeight="1">
      <c r="A567" s="114" t="s">
        <v>111</v>
      </c>
      <c r="B567" s="168" t="s">
        <v>2046</v>
      </c>
      <c r="C567" s="161" t="s">
        <v>2047</v>
      </c>
      <c r="D567" s="75" t="s">
        <v>1997</v>
      </c>
    </row>
    <row r="568" spans="1:4" ht="12" customHeight="1">
      <c r="A568" s="114" t="s">
        <v>111</v>
      </c>
      <c r="B568" s="168" t="s">
        <v>2048</v>
      </c>
      <c r="C568" s="161" t="s">
        <v>2049</v>
      </c>
      <c r="D568" s="75" t="s">
        <v>1997</v>
      </c>
    </row>
    <row r="569" spans="1:4" ht="12" customHeight="1">
      <c r="A569" s="114" t="s">
        <v>111</v>
      </c>
      <c r="B569" s="168" t="s">
        <v>1202</v>
      </c>
      <c r="C569" s="155" t="s">
        <v>2202</v>
      </c>
      <c r="D569" s="75" t="s">
        <v>1997</v>
      </c>
    </row>
    <row r="570" spans="1:4" ht="12" customHeight="1">
      <c r="A570" s="114" t="s">
        <v>111</v>
      </c>
      <c r="B570" s="168" t="s">
        <v>1203</v>
      </c>
      <c r="C570" s="155" t="s">
        <v>2203</v>
      </c>
      <c r="D570" s="75" t="s">
        <v>1997</v>
      </c>
    </row>
    <row r="571" spans="1:4" ht="12" customHeight="1">
      <c r="A571" s="114" t="s">
        <v>111</v>
      </c>
      <c r="B571" s="168" t="s">
        <v>2050</v>
      </c>
      <c r="C571" s="161" t="s">
        <v>2051</v>
      </c>
      <c r="D571" s="75" t="s">
        <v>1997</v>
      </c>
    </row>
    <row r="572" spans="1:4" ht="12" customHeight="1">
      <c r="A572" s="114" t="s">
        <v>111</v>
      </c>
      <c r="B572" s="119" t="s">
        <v>1204</v>
      </c>
      <c r="C572" s="126" t="s">
        <v>1205</v>
      </c>
      <c r="D572" s="75" t="s">
        <v>1997</v>
      </c>
    </row>
    <row r="573" spans="1:4" ht="12" customHeight="1">
      <c r="A573" s="114" t="s">
        <v>111</v>
      </c>
      <c r="B573" s="119" t="s">
        <v>2052</v>
      </c>
      <c r="C573" s="126" t="s">
        <v>2028</v>
      </c>
      <c r="D573" s="75" t="s">
        <v>1997</v>
      </c>
    </row>
    <row r="574" spans="1:4" ht="12" customHeight="1">
      <c r="A574" s="217" t="s">
        <v>111</v>
      </c>
      <c r="B574" s="119" t="s">
        <v>1206</v>
      </c>
      <c r="C574" s="126" t="s">
        <v>1207</v>
      </c>
      <c r="D574" s="75" t="s">
        <v>1997</v>
      </c>
    </row>
    <row r="575" spans="1:4" ht="12" customHeight="1">
      <c r="A575" s="114" t="s">
        <v>111</v>
      </c>
      <c r="B575" s="208" t="s">
        <v>1208</v>
      </c>
      <c r="C575" s="126" t="s">
        <v>1209</v>
      </c>
      <c r="D575" s="75" t="s">
        <v>1997</v>
      </c>
    </row>
    <row r="576" spans="1:4" ht="12" customHeight="1">
      <c r="A576" s="114" t="s">
        <v>111</v>
      </c>
      <c r="B576" s="208" t="s">
        <v>1210</v>
      </c>
      <c r="C576" s="126" t="s">
        <v>1211</v>
      </c>
      <c r="D576" s="75" t="s">
        <v>1997</v>
      </c>
    </row>
    <row r="577" spans="1:4" ht="12" customHeight="1">
      <c r="A577" s="114" t="s">
        <v>111</v>
      </c>
      <c r="B577" s="218" t="s">
        <v>2204</v>
      </c>
      <c r="C577" s="126" t="s">
        <v>2205</v>
      </c>
      <c r="D577" s="75" t="s">
        <v>1997</v>
      </c>
    </row>
    <row r="578" spans="1:4" ht="12" customHeight="1">
      <c r="A578" s="114" t="s">
        <v>111</v>
      </c>
      <c r="B578" s="218" t="s">
        <v>1212</v>
      </c>
      <c r="C578" s="126" t="s">
        <v>1213</v>
      </c>
      <c r="D578" s="75" t="s">
        <v>1997</v>
      </c>
    </row>
    <row r="579" spans="1:4" ht="12" customHeight="1">
      <c r="A579" s="114" t="s">
        <v>111</v>
      </c>
      <c r="B579" s="219" t="s">
        <v>1214</v>
      </c>
      <c r="C579" s="123" t="s">
        <v>1215</v>
      </c>
      <c r="D579" s="75" t="s">
        <v>1997</v>
      </c>
    </row>
    <row r="580" spans="1:4" ht="12.75" customHeight="1">
      <c r="A580" s="114" t="s">
        <v>111</v>
      </c>
      <c r="B580" s="219" t="s">
        <v>2160</v>
      </c>
      <c r="C580" s="93" t="s">
        <v>2161</v>
      </c>
      <c r="D580" s="75" t="s">
        <v>714</v>
      </c>
    </row>
    <row r="581" spans="1:4" ht="12" customHeight="1">
      <c r="A581" s="114" t="s">
        <v>113</v>
      </c>
      <c r="B581" s="220"/>
      <c r="C581" s="121" t="s">
        <v>1216</v>
      </c>
      <c r="D581" s="75"/>
    </row>
    <row r="582" spans="1:4" ht="12" customHeight="1">
      <c r="A582" s="114" t="s">
        <v>113</v>
      </c>
      <c r="B582" s="119" t="s">
        <v>1218</v>
      </c>
      <c r="C582" s="221" t="s">
        <v>1217</v>
      </c>
      <c r="D582" s="75" t="s">
        <v>346</v>
      </c>
    </row>
    <row r="583" spans="1:4" ht="12" customHeight="1">
      <c r="A583" s="114" t="s">
        <v>113</v>
      </c>
      <c r="B583" s="119" t="s">
        <v>1218</v>
      </c>
      <c r="C583" s="126" t="s">
        <v>1219</v>
      </c>
      <c r="D583" s="75" t="s">
        <v>346</v>
      </c>
    </row>
    <row r="584" spans="1:4" ht="12" customHeight="1">
      <c r="A584" s="114" t="s">
        <v>113</v>
      </c>
      <c r="B584" s="119" t="s">
        <v>1220</v>
      </c>
      <c r="C584" s="126" t="s">
        <v>1221</v>
      </c>
      <c r="D584" s="75" t="s">
        <v>346</v>
      </c>
    </row>
    <row r="585" spans="1:4" ht="12" customHeight="1">
      <c r="A585" s="114" t="s">
        <v>113</v>
      </c>
      <c r="B585" s="119" t="s">
        <v>1222</v>
      </c>
      <c r="C585" s="126" t="s">
        <v>1223</v>
      </c>
      <c r="D585" s="75" t="s">
        <v>346</v>
      </c>
    </row>
    <row r="586" spans="1:4" ht="12" customHeight="1">
      <c r="A586" s="114" t="s">
        <v>113</v>
      </c>
      <c r="B586" s="208" t="s">
        <v>1224</v>
      </c>
      <c r="C586" s="131" t="s">
        <v>1225</v>
      </c>
      <c r="D586" s="80" t="s">
        <v>302</v>
      </c>
    </row>
    <row r="587" spans="1:4" ht="12" customHeight="1">
      <c r="A587" s="114" t="s">
        <v>113</v>
      </c>
      <c r="B587" s="208" t="s">
        <v>1226</v>
      </c>
      <c r="C587" s="115" t="s">
        <v>1227</v>
      </c>
      <c r="D587" s="75" t="s">
        <v>302</v>
      </c>
    </row>
    <row r="588" spans="1:4" ht="11.25" customHeight="1">
      <c r="A588" s="114" t="s">
        <v>113</v>
      </c>
      <c r="B588" s="208" t="s">
        <v>1228</v>
      </c>
      <c r="C588" s="123" t="s">
        <v>1229</v>
      </c>
      <c r="D588" s="75" t="s">
        <v>1231</v>
      </c>
    </row>
    <row r="589" spans="1:4" ht="12" customHeight="1">
      <c r="A589" s="114" t="s">
        <v>113</v>
      </c>
      <c r="B589" s="222" t="s">
        <v>1230</v>
      </c>
      <c r="C589" s="115" t="s">
        <v>2053</v>
      </c>
      <c r="D589" s="75" t="s">
        <v>1231</v>
      </c>
    </row>
    <row r="590" spans="1:4" ht="12" customHeight="1">
      <c r="A590" s="114" t="s">
        <v>113</v>
      </c>
      <c r="B590" s="222" t="s">
        <v>1232</v>
      </c>
      <c r="C590" s="115" t="s">
        <v>1233</v>
      </c>
      <c r="D590" s="67"/>
    </row>
    <row r="591" spans="1:4" ht="12" customHeight="1">
      <c r="A591" s="114" t="s">
        <v>113</v>
      </c>
      <c r="B591" s="119"/>
      <c r="C591" s="126"/>
      <c r="D591" s="75"/>
    </row>
    <row r="592" spans="1:4" ht="12" customHeight="1">
      <c r="A592" s="114" t="s">
        <v>113</v>
      </c>
      <c r="B592" s="119"/>
      <c r="C592" s="126"/>
      <c r="D592" s="75"/>
    </row>
    <row r="593" spans="1:4" ht="12" customHeight="1">
      <c r="A593" s="114" t="s">
        <v>113</v>
      </c>
      <c r="B593" s="119"/>
      <c r="C593" s="126"/>
      <c r="D593" s="75"/>
    </row>
    <row r="594" spans="1:4" ht="12" customHeight="1">
      <c r="A594" s="114" t="s">
        <v>114</v>
      </c>
      <c r="B594" s="114"/>
      <c r="C594" s="121" t="s">
        <v>1234</v>
      </c>
      <c r="D594" s="75"/>
    </row>
    <row r="595" spans="1:4" ht="12" customHeight="1">
      <c r="A595" s="114" t="s">
        <v>114</v>
      </c>
      <c r="B595" s="208" t="s">
        <v>1235</v>
      </c>
      <c r="C595" s="115" t="s">
        <v>1236</v>
      </c>
      <c r="D595" s="75" t="s">
        <v>1237</v>
      </c>
    </row>
    <row r="596" spans="1:4" ht="12" customHeight="1">
      <c r="A596" s="114" t="s">
        <v>114</v>
      </c>
      <c r="B596" s="208" t="s">
        <v>1238</v>
      </c>
      <c r="C596" s="115" t="s">
        <v>1239</v>
      </c>
      <c r="D596" s="75" t="s">
        <v>1237</v>
      </c>
    </row>
    <row r="597" spans="1:4" ht="12" customHeight="1">
      <c r="A597" s="114" t="s">
        <v>114</v>
      </c>
      <c r="B597" s="208" t="s">
        <v>1240</v>
      </c>
      <c r="C597" s="115" t="s">
        <v>1241</v>
      </c>
      <c r="D597" s="75" t="s">
        <v>1237</v>
      </c>
    </row>
    <row r="598" spans="1:4" ht="12" customHeight="1">
      <c r="A598" s="114" t="s">
        <v>114</v>
      </c>
      <c r="B598" s="208" t="s">
        <v>1242</v>
      </c>
      <c r="C598" s="89" t="s">
        <v>1243</v>
      </c>
      <c r="D598" s="75" t="s">
        <v>974</v>
      </c>
    </row>
    <row r="599" spans="1:4" ht="12" customHeight="1">
      <c r="A599" s="114" t="s">
        <v>114</v>
      </c>
      <c r="B599" s="208" t="s">
        <v>1244</v>
      </c>
      <c r="C599" s="138" t="s">
        <v>1245</v>
      </c>
      <c r="D599" s="80" t="s">
        <v>974</v>
      </c>
    </row>
    <row r="600" spans="1:4" ht="12" customHeight="1">
      <c r="A600" s="114" t="s">
        <v>114</v>
      </c>
      <c r="B600" s="208" t="s">
        <v>1246</v>
      </c>
      <c r="C600" s="131" t="s">
        <v>1247</v>
      </c>
      <c r="D600" s="80" t="s">
        <v>974</v>
      </c>
    </row>
    <row r="601" spans="1:4" ht="12" customHeight="1">
      <c r="A601" s="114" t="s">
        <v>114</v>
      </c>
      <c r="B601" s="208" t="s">
        <v>1248</v>
      </c>
      <c r="C601" s="131" t="s">
        <v>1249</v>
      </c>
      <c r="D601" s="80" t="s">
        <v>974</v>
      </c>
    </row>
    <row r="602" spans="1:4" ht="12" customHeight="1">
      <c r="A602" s="114" t="s">
        <v>114</v>
      </c>
      <c r="B602" s="89" t="s">
        <v>1250</v>
      </c>
      <c r="C602" s="89" t="s">
        <v>1251</v>
      </c>
      <c r="D602" s="80" t="s">
        <v>974</v>
      </c>
    </row>
    <row r="603" spans="1:4" ht="12" customHeight="1">
      <c r="A603" s="114" t="s">
        <v>114</v>
      </c>
      <c r="B603" s="101" t="s">
        <v>1252</v>
      </c>
      <c r="C603" s="89" t="s">
        <v>1253</v>
      </c>
      <c r="D603" s="80" t="s">
        <v>974</v>
      </c>
    </row>
    <row r="604" spans="1:4" ht="12" customHeight="1">
      <c r="A604" s="114" t="s">
        <v>114</v>
      </c>
      <c r="B604" s="223" t="s">
        <v>1254</v>
      </c>
      <c r="C604" s="223" t="s">
        <v>1255</v>
      </c>
      <c r="D604" s="80" t="s">
        <v>974</v>
      </c>
    </row>
    <row r="605" spans="1:4" ht="12" customHeight="1">
      <c r="A605" s="114" t="s">
        <v>114</v>
      </c>
      <c r="B605" s="223" t="s">
        <v>1256</v>
      </c>
      <c r="C605" s="223" t="s">
        <v>1257</v>
      </c>
      <c r="D605" s="80" t="s">
        <v>974</v>
      </c>
    </row>
    <row r="606" spans="1:4" ht="12" customHeight="1">
      <c r="A606" s="114" t="s">
        <v>114</v>
      </c>
      <c r="B606" s="223" t="s">
        <v>1258</v>
      </c>
      <c r="C606" s="223" t="s">
        <v>1259</v>
      </c>
      <c r="D606" s="80" t="s">
        <v>974</v>
      </c>
    </row>
    <row r="607" spans="1:4" ht="12" customHeight="1">
      <c r="A607" s="114" t="s">
        <v>114</v>
      </c>
      <c r="B607" s="223" t="s">
        <v>1260</v>
      </c>
      <c r="C607" s="223" t="s">
        <v>1261</v>
      </c>
      <c r="D607" s="80" t="s">
        <v>974</v>
      </c>
    </row>
    <row r="608" spans="1:4" ht="12" customHeight="1">
      <c r="A608" s="114"/>
      <c r="B608" s="208"/>
      <c r="C608" s="131"/>
      <c r="D608" s="80"/>
    </row>
    <row r="609" spans="1:4" ht="12" customHeight="1">
      <c r="A609" s="114"/>
      <c r="B609" s="208"/>
      <c r="C609" s="131"/>
      <c r="D609" s="80"/>
    </row>
    <row r="610" spans="1:4" ht="12" customHeight="1">
      <c r="A610" s="114"/>
      <c r="B610" s="208"/>
      <c r="C610" s="131"/>
      <c r="D610" s="80"/>
    </row>
    <row r="611" spans="1:4" ht="12" customHeight="1">
      <c r="A611" s="114"/>
      <c r="B611" s="208"/>
      <c r="C611" s="131"/>
      <c r="D611" s="80"/>
    </row>
    <row r="612" spans="1:4" ht="12" customHeight="1">
      <c r="A612" s="114" t="s">
        <v>114</v>
      </c>
      <c r="B612" s="208" t="s">
        <v>1262</v>
      </c>
      <c r="C612" s="126" t="s">
        <v>1263</v>
      </c>
      <c r="D612" s="99" t="s">
        <v>714</v>
      </c>
    </row>
    <row r="613" spans="1:4" ht="12" customHeight="1">
      <c r="A613" s="114" t="s">
        <v>118</v>
      </c>
      <c r="B613" s="174"/>
      <c r="C613" s="224" t="s">
        <v>1264</v>
      </c>
      <c r="D613" s="75"/>
    </row>
    <row r="614" spans="1:4" ht="12" customHeight="1">
      <c r="A614" s="114" t="s">
        <v>118</v>
      </c>
      <c r="B614" s="97" t="s">
        <v>1265</v>
      </c>
      <c r="C614" s="97" t="s">
        <v>1266</v>
      </c>
      <c r="D614" s="98" t="s">
        <v>302</v>
      </c>
    </row>
    <row r="615" spans="1:4" ht="12" customHeight="1">
      <c r="A615" s="114" t="s">
        <v>118</v>
      </c>
      <c r="B615" s="97" t="s">
        <v>1267</v>
      </c>
      <c r="C615" s="97" t="s">
        <v>1268</v>
      </c>
      <c r="D615" s="99" t="s">
        <v>1269</v>
      </c>
    </row>
    <row r="616" spans="1:4" ht="12" customHeight="1">
      <c r="A616" s="114" t="s">
        <v>118</v>
      </c>
      <c r="B616" s="97" t="s">
        <v>1270</v>
      </c>
      <c r="C616" s="97" t="s">
        <v>1271</v>
      </c>
      <c r="D616" s="82" t="s">
        <v>1237</v>
      </c>
    </row>
    <row r="617" spans="1:4" ht="12" customHeight="1">
      <c r="A617" s="114" t="s">
        <v>118</v>
      </c>
      <c r="B617" s="97" t="s">
        <v>1272</v>
      </c>
      <c r="C617" s="97" t="s">
        <v>2054</v>
      </c>
      <c r="D617" s="82" t="s">
        <v>1237</v>
      </c>
    </row>
    <row r="618" spans="1:4" ht="12" customHeight="1">
      <c r="A618" s="114" t="s">
        <v>118</v>
      </c>
      <c r="B618" s="97" t="s">
        <v>1273</v>
      </c>
      <c r="C618" s="97" t="s">
        <v>1274</v>
      </c>
      <c r="D618" s="82" t="s">
        <v>1237</v>
      </c>
    </row>
    <row r="619" spans="1:4" ht="12" customHeight="1">
      <c r="A619" s="114" t="s">
        <v>118</v>
      </c>
      <c r="B619" s="225" t="s">
        <v>1275</v>
      </c>
      <c r="C619" s="138" t="s">
        <v>1276</v>
      </c>
      <c r="D619" s="100" t="s">
        <v>2055</v>
      </c>
    </row>
    <row r="620" spans="1:4" ht="12" customHeight="1">
      <c r="A620" s="114" t="s">
        <v>118</v>
      </c>
      <c r="B620" s="208" t="s">
        <v>1277</v>
      </c>
      <c r="C620" s="115" t="s">
        <v>1278</v>
      </c>
      <c r="D620" s="100" t="s">
        <v>2016</v>
      </c>
    </row>
    <row r="621" spans="1:4" ht="12" customHeight="1">
      <c r="A621" s="114" t="s">
        <v>118</v>
      </c>
      <c r="B621" s="226" t="s">
        <v>1279</v>
      </c>
      <c r="C621" s="126" t="s">
        <v>1280</v>
      </c>
      <c r="D621" s="100" t="s">
        <v>2016</v>
      </c>
    </row>
    <row r="622" spans="1:4" ht="12" customHeight="1">
      <c r="A622" s="140" t="s">
        <v>118</v>
      </c>
      <c r="B622" s="223" t="s">
        <v>1281</v>
      </c>
      <c r="C622" s="89" t="s">
        <v>2056</v>
      </c>
      <c r="D622" s="100" t="s">
        <v>714</v>
      </c>
    </row>
    <row r="623" spans="1:4" ht="12" customHeight="1">
      <c r="A623" s="140" t="s">
        <v>118</v>
      </c>
      <c r="B623" s="208" t="s">
        <v>1282</v>
      </c>
      <c r="C623" s="70" t="s">
        <v>2148</v>
      </c>
      <c r="D623" s="100" t="s">
        <v>1269</v>
      </c>
    </row>
    <row r="624" spans="1:4" ht="12" customHeight="1">
      <c r="A624" s="140" t="s">
        <v>118</v>
      </c>
      <c r="B624" s="223" t="s">
        <v>1283</v>
      </c>
      <c r="C624" s="291" t="s">
        <v>1284</v>
      </c>
      <c r="D624" s="100" t="s">
        <v>1269</v>
      </c>
    </row>
    <row r="625" spans="1:5" ht="12" customHeight="1">
      <c r="A625" s="140" t="s">
        <v>118</v>
      </c>
      <c r="B625" s="208" t="s">
        <v>1285</v>
      </c>
      <c r="C625" s="229" t="s">
        <v>1286</v>
      </c>
      <c r="D625" s="100" t="s">
        <v>1269</v>
      </c>
    </row>
    <row r="626" spans="1:5" ht="12" customHeight="1">
      <c r="A626" s="140" t="s">
        <v>118</v>
      </c>
      <c r="B626" s="208" t="s">
        <v>1287</v>
      </c>
      <c r="C626" s="229" t="s">
        <v>1288</v>
      </c>
      <c r="D626" s="100" t="s">
        <v>1269</v>
      </c>
    </row>
    <row r="627" spans="1:5" ht="12" customHeight="1">
      <c r="A627" s="140" t="s">
        <v>118</v>
      </c>
      <c r="B627" s="208" t="s">
        <v>1289</v>
      </c>
      <c r="C627" s="292" t="s">
        <v>1290</v>
      </c>
      <c r="D627" s="100" t="s">
        <v>1269</v>
      </c>
    </row>
    <row r="628" spans="1:5" ht="12" customHeight="1">
      <c r="A628" s="140" t="s">
        <v>118</v>
      </c>
      <c r="B628" s="208" t="s">
        <v>1291</v>
      </c>
      <c r="C628" s="229" t="s">
        <v>1292</v>
      </c>
      <c r="D628" s="100" t="s">
        <v>1269</v>
      </c>
    </row>
    <row r="629" spans="1:5" ht="12" customHeight="1">
      <c r="A629" s="140" t="s">
        <v>118</v>
      </c>
      <c r="B629" s="227" t="s">
        <v>1293</v>
      </c>
      <c r="C629" s="293" t="s">
        <v>1294</v>
      </c>
      <c r="D629" s="75" t="s">
        <v>714</v>
      </c>
    </row>
    <row r="630" spans="1:5" ht="12" customHeight="1">
      <c r="A630" s="140" t="s">
        <v>118</v>
      </c>
      <c r="B630" s="228" t="s">
        <v>1295</v>
      </c>
      <c r="C630" s="229" t="s">
        <v>1296</v>
      </c>
      <c r="D630" s="100" t="s">
        <v>1269</v>
      </c>
    </row>
    <row r="631" spans="1:5" ht="12" customHeight="1">
      <c r="A631" s="140" t="s">
        <v>118</v>
      </c>
      <c r="B631" s="97" t="s">
        <v>1297</v>
      </c>
      <c r="C631" s="230" t="s">
        <v>1298</v>
      </c>
      <c r="D631" s="100" t="s">
        <v>1269</v>
      </c>
    </row>
    <row r="632" spans="1:5" ht="12" customHeight="1">
      <c r="A632" s="140" t="s">
        <v>118</v>
      </c>
      <c r="B632" s="97" t="s">
        <v>1299</v>
      </c>
      <c r="C632" s="230" t="s">
        <v>1300</v>
      </c>
      <c r="D632" s="100" t="s">
        <v>1269</v>
      </c>
    </row>
    <row r="633" spans="1:5" ht="12" customHeight="1">
      <c r="A633" s="114"/>
      <c r="B633" s="231"/>
      <c r="C633" s="115"/>
      <c r="D633" s="102"/>
    </row>
    <row r="634" spans="1:5" ht="12" customHeight="1">
      <c r="A634" s="114"/>
      <c r="B634" s="192"/>
      <c r="C634" s="126"/>
      <c r="D634" s="102"/>
    </row>
    <row r="635" spans="1:5" ht="12" customHeight="1">
      <c r="A635" s="114"/>
      <c r="B635" s="182"/>
      <c r="C635" s="183"/>
      <c r="E635" s="18"/>
    </row>
    <row r="636" spans="1:5" ht="12" customHeight="1">
      <c r="A636" s="114" t="s">
        <v>120</v>
      </c>
      <c r="B636" s="119"/>
      <c r="C636" s="121" t="s">
        <v>1301</v>
      </c>
      <c r="D636" s="103"/>
    </row>
    <row r="637" spans="1:5" ht="12" customHeight="1">
      <c r="A637" s="114" t="s">
        <v>120</v>
      </c>
      <c r="B637" s="208" t="s">
        <v>1302</v>
      </c>
      <c r="C637" s="115" t="s">
        <v>1303</v>
      </c>
      <c r="D637" s="75" t="s">
        <v>714</v>
      </c>
    </row>
    <row r="638" spans="1:5" ht="12" customHeight="1">
      <c r="A638" s="114" t="s">
        <v>120</v>
      </c>
      <c r="B638" s="208" t="s">
        <v>2149</v>
      </c>
      <c r="C638" s="115" t="s">
        <v>2150</v>
      </c>
      <c r="D638" s="75" t="s">
        <v>714</v>
      </c>
    </row>
    <row r="639" spans="1:5" ht="12" customHeight="1">
      <c r="A639" s="114" t="s">
        <v>120</v>
      </c>
      <c r="B639" s="208" t="s">
        <v>1304</v>
      </c>
      <c r="C639" s="115" t="s">
        <v>1305</v>
      </c>
      <c r="D639" s="75" t="s">
        <v>714</v>
      </c>
    </row>
    <row r="640" spans="1:5" ht="12" customHeight="1">
      <c r="A640" s="114" t="s">
        <v>120</v>
      </c>
      <c r="B640" s="208" t="s">
        <v>1306</v>
      </c>
      <c r="C640" s="115" t="s">
        <v>1307</v>
      </c>
      <c r="D640" s="75" t="s">
        <v>714</v>
      </c>
    </row>
    <row r="641" spans="1:4" ht="12" customHeight="1">
      <c r="A641" s="114" t="s">
        <v>120</v>
      </c>
      <c r="B641" s="208" t="s">
        <v>1308</v>
      </c>
      <c r="C641" s="115" t="s">
        <v>1309</v>
      </c>
      <c r="D641" s="75" t="s">
        <v>714</v>
      </c>
    </row>
    <row r="642" spans="1:4" ht="12" customHeight="1">
      <c r="A642" s="114" t="s">
        <v>120</v>
      </c>
      <c r="B642" s="208" t="s">
        <v>1310</v>
      </c>
      <c r="C642" s="115" t="s">
        <v>1311</v>
      </c>
      <c r="D642" s="75" t="s">
        <v>714</v>
      </c>
    </row>
    <row r="643" spans="1:4" ht="12" customHeight="1">
      <c r="A643" s="114" t="s">
        <v>120</v>
      </c>
      <c r="B643" s="150" t="s">
        <v>1312</v>
      </c>
      <c r="C643" s="115" t="s">
        <v>1313</v>
      </c>
      <c r="D643" s="75" t="s">
        <v>714</v>
      </c>
    </row>
    <row r="644" spans="1:4" ht="12" customHeight="1">
      <c r="A644" s="114" t="s">
        <v>120</v>
      </c>
      <c r="B644" s="150" t="s">
        <v>1314</v>
      </c>
      <c r="C644" s="115" t="s">
        <v>1315</v>
      </c>
      <c r="D644" s="75" t="s">
        <v>714</v>
      </c>
    </row>
    <row r="645" spans="1:4" ht="12" customHeight="1">
      <c r="A645" s="182"/>
      <c r="B645" s="182"/>
      <c r="C645" s="183"/>
      <c r="D645" s="67"/>
    </row>
    <row r="646" spans="1:4" ht="12" customHeight="1">
      <c r="A646" s="232">
        <v>20</v>
      </c>
      <c r="B646" s="186"/>
      <c r="C646" s="233" t="s">
        <v>1316</v>
      </c>
      <c r="D646" s="67"/>
    </row>
    <row r="647" spans="1:4" ht="12" customHeight="1">
      <c r="A647" s="114" t="s">
        <v>126</v>
      </c>
      <c r="B647" s="234" t="s">
        <v>1317</v>
      </c>
      <c r="C647" s="126" t="s">
        <v>1318</v>
      </c>
      <c r="D647" s="75"/>
    </row>
    <row r="648" spans="1:4" ht="12" customHeight="1">
      <c r="A648" s="114" t="s">
        <v>126</v>
      </c>
      <c r="B648" s="227" t="s">
        <v>1319</v>
      </c>
      <c r="C648" s="89" t="s">
        <v>1320</v>
      </c>
      <c r="D648" s="75" t="s">
        <v>346</v>
      </c>
    </row>
    <row r="649" spans="1:4" ht="12" customHeight="1">
      <c r="A649" s="114" t="s">
        <v>126</v>
      </c>
      <c r="B649" s="227" t="s">
        <v>1321</v>
      </c>
      <c r="C649" s="89" t="s">
        <v>1322</v>
      </c>
      <c r="D649" s="75" t="s">
        <v>302</v>
      </c>
    </row>
    <row r="650" spans="1:4" ht="12" customHeight="1">
      <c r="A650" s="114" t="s">
        <v>126</v>
      </c>
      <c r="B650" s="150" t="s">
        <v>1323</v>
      </c>
      <c r="C650" s="115" t="s">
        <v>1324</v>
      </c>
      <c r="D650" s="75" t="s">
        <v>346</v>
      </c>
    </row>
    <row r="651" spans="1:4" ht="12" customHeight="1">
      <c r="A651" s="114" t="s">
        <v>126</v>
      </c>
      <c r="B651" s="150" t="s">
        <v>1325</v>
      </c>
      <c r="C651" s="115" t="s">
        <v>1326</v>
      </c>
      <c r="D651" s="75" t="s">
        <v>302</v>
      </c>
    </row>
    <row r="652" spans="1:4" ht="12" customHeight="1">
      <c r="A652" s="114" t="s">
        <v>126</v>
      </c>
      <c r="B652" s="150" t="s">
        <v>1327</v>
      </c>
      <c r="C652" s="115" t="s">
        <v>1328</v>
      </c>
      <c r="D652" s="75" t="s">
        <v>346</v>
      </c>
    </row>
    <row r="653" spans="1:4" ht="12" customHeight="1">
      <c r="A653" s="114" t="s">
        <v>126</v>
      </c>
      <c r="B653" s="150" t="s">
        <v>1329</v>
      </c>
      <c r="C653" s="115" t="s">
        <v>1330</v>
      </c>
      <c r="D653" s="75" t="s">
        <v>302</v>
      </c>
    </row>
    <row r="654" spans="1:4" ht="12" customHeight="1">
      <c r="A654" s="114" t="s">
        <v>126</v>
      </c>
      <c r="B654" s="150" t="s">
        <v>1331</v>
      </c>
      <c r="C654" s="115" t="s">
        <v>1332</v>
      </c>
      <c r="D654" s="75" t="s">
        <v>797</v>
      </c>
    </row>
    <row r="655" spans="1:4" ht="12" customHeight="1">
      <c r="A655" s="114" t="s">
        <v>126</v>
      </c>
      <c r="B655" s="150" t="s">
        <v>1333</v>
      </c>
      <c r="C655" s="115" t="s">
        <v>1334</v>
      </c>
      <c r="D655" s="75" t="s">
        <v>302</v>
      </c>
    </row>
    <row r="656" spans="1:4" ht="12" customHeight="1">
      <c r="A656" s="114" t="s">
        <v>126</v>
      </c>
      <c r="B656" s="150" t="s">
        <v>1335</v>
      </c>
      <c r="C656" s="115" t="s">
        <v>1336</v>
      </c>
      <c r="D656" s="75" t="s">
        <v>302</v>
      </c>
    </row>
    <row r="657" spans="1:4" ht="12" customHeight="1">
      <c r="A657" s="114" t="s">
        <v>126</v>
      </c>
      <c r="B657" s="150" t="s">
        <v>1337</v>
      </c>
      <c r="C657" s="115" t="s">
        <v>1338</v>
      </c>
      <c r="D657" s="75" t="s">
        <v>302</v>
      </c>
    </row>
    <row r="658" spans="1:4" ht="12" customHeight="1">
      <c r="A658" s="235"/>
      <c r="B658" s="150" t="s">
        <v>1339</v>
      </c>
      <c r="C658" s="115" t="s">
        <v>1340</v>
      </c>
      <c r="D658" s="75" t="s">
        <v>302</v>
      </c>
    </row>
    <row r="659" spans="1:4" ht="12" customHeight="1">
      <c r="A659" s="114" t="s">
        <v>126</v>
      </c>
      <c r="B659" s="150" t="s">
        <v>1341</v>
      </c>
      <c r="C659" s="115" t="s">
        <v>2057</v>
      </c>
      <c r="D659" s="75" t="s">
        <v>302</v>
      </c>
    </row>
    <row r="660" spans="1:4" ht="12" customHeight="1">
      <c r="A660" s="114" t="s">
        <v>126</v>
      </c>
      <c r="B660" s="150" t="s">
        <v>1342</v>
      </c>
      <c r="C660" s="115" t="s">
        <v>1343</v>
      </c>
      <c r="D660" s="75" t="s">
        <v>302</v>
      </c>
    </row>
    <row r="661" spans="1:4" ht="12" customHeight="1">
      <c r="A661" s="114" t="s">
        <v>126</v>
      </c>
      <c r="B661" s="182"/>
      <c r="C661" s="183"/>
      <c r="D661" s="67"/>
    </row>
    <row r="662" spans="1:4" ht="12" customHeight="1">
      <c r="A662" s="114" t="s">
        <v>126</v>
      </c>
      <c r="B662" s="182"/>
      <c r="C662" s="183"/>
      <c r="D662" s="67"/>
    </row>
    <row r="663" spans="1:4" ht="12" customHeight="1">
      <c r="A663" s="114" t="s">
        <v>126</v>
      </c>
      <c r="B663" s="236" t="s">
        <v>1344</v>
      </c>
      <c r="C663" s="126" t="s">
        <v>1345</v>
      </c>
      <c r="D663" s="75" t="s">
        <v>302</v>
      </c>
    </row>
    <row r="664" spans="1:4" ht="12" customHeight="1">
      <c r="A664" s="114" t="s">
        <v>126</v>
      </c>
      <c r="B664" s="182"/>
      <c r="C664" s="183"/>
      <c r="D664" s="67"/>
    </row>
    <row r="665" spans="1:4" ht="12" customHeight="1">
      <c r="A665" s="114"/>
      <c r="B665" s="182"/>
      <c r="C665" s="183"/>
      <c r="D665" s="67"/>
    </row>
    <row r="666" spans="1:4" ht="12" customHeight="1">
      <c r="A666" s="114"/>
      <c r="B666" s="182"/>
      <c r="C666" s="183"/>
      <c r="D666" s="67"/>
    </row>
    <row r="667" spans="1:4" ht="12" customHeight="1">
      <c r="A667" s="114" t="s">
        <v>128</v>
      </c>
      <c r="B667" s="237"/>
      <c r="C667" s="238"/>
      <c r="D667" s="79"/>
    </row>
    <row r="668" spans="1:4" ht="12" customHeight="1">
      <c r="A668" s="114" t="s">
        <v>128</v>
      </c>
      <c r="B668" s="236"/>
      <c r="C668" s="126"/>
      <c r="D668" s="75"/>
    </row>
    <row r="669" spans="1:4" ht="24.75">
      <c r="A669" s="114" t="s">
        <v>130</v>
      </c>
      <c r="B669" s="237"/>
      <c r="C669" s="121" t="s">
        <v>1346</v>
      </c>
      <c r="D669" s="75"/>
    </row>
    <row r="670" spans="1:4" ht="12" customHeight="1">
      <c r="A670" s="114" t="s">
        <v>130</v>
      </c>
      <c r="B670" s="150" t="s">
        <v>1347</v>
      </c>
      <c r="C670" s="115" t="s">
        <v>1348</v>
      </c>
      <c r="D670" s="75" t="s">
        <v>302</v>
      </c>
    </row>
    <row r="671" spans="1:4" ht="12" customHeight="1">
      <c r="A671" s="114" t="s">
        <v>130</v>
      </c>
      <c r="B671" s="150" t="s">
        <v>1349</v>
      </c>
      <c r="C671" s="115" t="s">
        <v>1350</v>
      </c>
      <c r="D671" s="75" t="s">
        <v>302</v>
      </c>
    </row>
    <row r="672" spans="1:4" ht="12" customHeight="1">
      <c r="A672" s="114" t="s">
        <v>130</v>
      </c>
      <c r="B672" s="150" t="s">
        <v>1351</v>
      </c>
      <c r="C672" s="115" t="s">
        <v>1352</v>
      </c>
      <c r="D672" s="75" t="s">
        <v>302</v>
      </c>
    </row>
    <row r="673" spans="1:4" ht="12" customHeight="1">
      <c r="A673" s="114" t="s">
        <v>130</v>
      </c>
      <c r="B673" s="150" t="s">
        <v>1353</v>
      </c>
      <c r="C673" s="115" t="s">
        <v>2058</v>
      </c>
      <c r="D673" s="75" t="s">
        <v>302</v>
      </c>
    </row>
    <row r="674" spans="1:4" ht="12" customHeight="1">
      <c r="A674" s="114" t="s">
        <v>130</v>
      </c>
      <c r="B674" s="150" t="s">
        <v>1354</v>
      </c>
      <c r="C674" s="115" t="s">
        <v>2059</v>
      </c>
      <c r="D674" s="75" t="s">
        <v>302</v>
      </c>
    </row>
    <row r="675" spans="1:4" ht="12" customHeight="1">
      <c r="A675" s="114" t="s">
        <v>130</v>
      </c>
      <c r="B675" s="150" t="s">
        <v>1355</v>
      </c>
      <c r="C675" s="115" t="s">
        <v>2060</v>
      </c>
      <c r="D675" s="75" t="s">
        <v>302</v>
      </c>
    </row>
    <row r="676" spans="1:4" ht="12" customHeight="1">
      <c r="A676" s="114" t="s">
        <v>130</v>
      </c>
      <c r="B676" s="150" t="s">
        <v>1356</v>
      </c>
      <c r="C676" s="115" t="s">
        <v>1357</v>
      </c>
      <c r="D676" s="75" t="s">
        <v>302</v>
      </c>
    </row>
    <row r="677" spans="1:4" ht="12" customHeight="1">
      <c r="A677" s="114" t="s">
        <v>130</v>
      </c>
      <c r="B677" s="119"/>
      <c r="C677" s="126"/>
      <c r="D677" s="75"/>
    </row>
    <row r="678" spans="1:4" ht="12" customHeight="1">
      <c r="A678" s="114" t="s">
        <v>130</v>
      </c>
      <c r="B678" s="236"/>
      <c r="C678" s="126"/>
      <c r="D678" s="75"/>
    </row>
    <row r="679" spans="1:4" ht="24.75">
      <c r="A679" s="114" t="s">
        <v>131</v>
      </c>
      <c r="B679" s="237"/>
      <c r="C679" s="121" t="s">
        <v>1358</v>
      </c>
      <c r="D679" s="75"/>
    </row>
    <row r="680" spans="1:4" ht="12" customHeight="1">
      <c r="A680" s="114" t="s">
        <v>131</v>
      </c>
      <c r="B680" s="150" t="s">
        <v>1359</v>
      </c>
      <c r="C680" s="115" t="s">
        <v>1360</v>
      </c>
      <c r="D680" s="75" t="s">
        <v>302</v>
      </c>
    </row>
    <row r="681" spans="1:4" ht="12" customHeight="1">
      <c r="A681" s="114" t="s">
        <v>131</v>
      </c>
      <c r="B681" s="150" t="s">
        <v>1361</v>
      </c>
      <c r="C681" s="115" t="s">
        <v>1362</v>
      </c>
      <c r="D681" s="75" t="s">
        <v>302</v>
      </c>
    </row>
    <row r="682" spans="1:4" ht="12" customHeight="1">
      <c r="A682" s="114" t="s">
        <v>131</v>
      </c>
      <c r="B682" s="150" t="s">
        <v>1363</v>
      </c>
      <c r="C682" s="131" t="s">
        <v>1364</v>
      </c>
      <c r="D682" s="75" t="s">
        <v>302</v>
      </c>
    </row>
    <row r="683" spans="1:4" ht="12" customHeight="1">
      <c r="A683" s="114" t="s">
        <v>131</v>
      </c>
      <c r="B683" s="150" t="s">
        <v>1365</v>
      </c>
      <c r="C683" s="115" t="s">
        <v>1366</v>
      </c>
      <c r="D683" s="75" t="s">
        <v>302</v>
      </c>
    </row>
    <row r="684" spans="1:4" ht="12" customHeight="1">
      <c r="A684" s="114" t="s">
        <v>131</v>
      </c>
      <c r="B684" s="150" t="s">
        <v>1367</v>
      </c>
      <c r="C684" s="123" t="s">
        <v>1368</v>
      </c>
      <c r="D684" s="75" t="s">
        <v>302</v>
      </c>
    </row>
    <row r="685" spans="1:4" ht="12" customHeight="1">
      <c r="A685" s="114" t="s">
        <v>131</v>
      </c>
      <c r="B685" s="150" t="s">
        <v>1369</v>
      </c>
      <c r="C685" s="115" t="s">
        <v>1370</v>
      </c>
      <c r="D685" s="75" t="s">
        <v>302</v>
      </c>
    </row>
    <row r="686" spans="1:4" ht="12" customHeight="1">
      <c r="A686" s="114"/>
      <c r="B686" s="116"/>
      <c r="C686" s="126"/>
      <c r="D686" s="75"/>
    </row>
    <row r="687" spans="1:4" ht="12" customHeight="1">
      <c r="A687" s="114"/>
      <c r="B687" s="236"/>
      <c r="C687" s="126"/>
      <c r="D687" s="75"/>
    </row>
    <row r="688" spans="1:4" ht="12" customHeight="1">
      <c r="A688" s="114" t="s">
        <v>133</v>
      </c>
      <c r="B688" s="237"/>
      <c r="C688" s="239" t="s">
        <v>1371</v>
      </c>
      <c r="D688" s="75"/>
    </row>
    <row r="689" spans="1:4" ht="12" customHeight="1">
      <c r="A689" s="114" t="s">
        <v>133</v>
      </c>
      <c r="B689" s="240" t="s">
        <v>1372</v>
      </c>
      <c r="C689" s="97" t="s">
        <v>1373</v>
      </c>
      <c r="D689" s="82" t="s">
        <v>302</v>
      </c>
    </row>
    <row r="690" spans="1:4" ht="12" customHeight="1">
      <c r="A690" s="114" t="s">
        <v>133</v>
      </c>
      <c r="B690" s="240" t="s">
        <v>1374</v>
      </c>
      <c r="C690" s="97" t="s">
        <v>1375</v>
      </c>
      <c r="D690" s="82" t="s">
        <v>302</v>
      </c>
    </row>
    <row r="691" spans="1:4" ht="12" customHeight="1">
      <c r="A691" s="114" t="s">
        <v>133</v>
      </c>
      <c r="B691" s="240" t="s">
        <v>1376</v>
      </c>
      <c r="C691" s="97" t="s">
        <v>1377</v>
      </c>
      <c r="D691" s="82" t="s">
        <v>302</v>
      </c>
    </row>
    <row r="692" spans="1:4" ht="12" customHeight="1">
      <c r="A692" s="114" t="s">
        <v>133</v>
      </c>
      <c r="B692" s="240" t="s">
        <v>1378</v>
      </c>
      <c r="C692" s="97" t="s">
        <v>1379</v>
      </c>
      <c r="D692" s="82" t="s">
        <v>302</v>
      </c>
    </row>
    <row r="693" spans="1:4" ht="12" customHeight="1">
      <c r="A693" s="114" t="s">
        <v>133</v>
      </c>
      <c r="B693" s="240" t="s">
        <v>1380</v>
      </c>
      <c r="C693" s="97" t="s">
        <v>1381</v>
      </c>
      <c r="D693" s="82" t="s">
        <v>302</v>
      </c>
    </row>
    <row r="694" spans="1:4" ht="12" customHeight="1">
      <c r="A694" s="114" t="s">
        <v>133</v>
      </c>
      <c r="B694" s="240" t="s">
        <v>1382</v>
      </c>
      <c r="C694" s="97" t="s">
        <v>1383</v>
      </c>
      <c r="D694" s="82" t="s">
        <v>302</v>
      </c>
    </row>
    <row r="695" spans="1:4" ht="12" customHeight="1">
      <c r="A695" s="114" t="s">
        <v>133</v>
      </c>
      <c r="B695" s="240" t="s">
        <v>1384</v>
      </c>
      <c r="C695" s="241" t="s">
        <v>1385</v>
      </c>
      <c r="D695" s="94" t="s">
        <v>302</v>
      </c>
    </row>
    <row r="696" spans="1:4" ht="12" customHeight="1">
      <c r="A696" s="114" t="s">
        <v>133</v>
      </c>
      <c r="B696" s="240" t="s">
        <v>1386</v>
      </c>
      <c r="C696" s="97" t="s">
        <v>1387</v>
      </c>
      <c r="D696" s="94" t="s">
        <v>302</v>
      </c>
    </row>
    <row r="697" spans="1:4" ht="12" customHeight="1">
      <c r="A697" s="114" t="s">
        <v>133</v>
      </c>
      <c r="B697" s="240" t="s">
        <v>1388</v>
      </c>
      <c r="C697" s="97" t="s">
        <v>1389</v>
      </c>
      <c r="D697" s="94" t="s">
        <v>302</v>
      </c>
    </row>
    <row r="698" spans="1:4" ht="12" customHeight="1">
      <c r="A698" s="114" t="s">
        <v>133</v>
      </c>
      <c r="B698" s="150" t="s">
        <v>1390</v>
      </c>
      <c r="C698" s="242" t="s">
        <v>2061</v>
      </c>
      <c r="D698" s="79" t="s">
        <v>302</v>
      </c>
    </row>
    <row r="699" spans="1:4" ht="12" customHeight="1">
      <c r="A699" s="114" t="s">
        <v>133</v>
      </c>
      <c r="B699" s="150" t="s">
        <v>2062</v>
      </c>
      <c r="C699" s="146" t="s">
        <v>2063</v>
      </c>
      <c r="D699" s="75" t="s">
        <v>1237</v>
      </c>
    </row>
    <row r="700" spans="1:4" ht="12" customHeight="1">
      <c r="A700" s="182"/>
      <c r="B700" s="182"/>
      <c r="C700" s="183"/>
      <c r="D700" s="67"/>
    </row>
    <row r="701" spans="1:4" ht="12" customHeight="1">
      <c r="A701" s="114"/>
      <c r="B701" s="220"/>
      <c r="C701" s="243"/>
      <c r="D701" s="75"/>
    </row>
    <row r="702" spans="1:4" ht="12" customHeight="1">
      <c r="A702" s="159" t="s">
        <v>137</v>
      </c>
      <c r="B702" s="174"/>
      <c r="C702" s="213" t="s">
        <v>1391</v>
      </c>
      <c r="D702" s="79"/>
    </row>
    <row r="703" spans="1:4" ht="12" customHeight="1">
      <c r="A703" s="173" t="s">
        <v>1392</v>
      </c>
      <c r="B703" s="236" t="s">
        <v>1393</v>
      </c>
      <c r="C703" s="126" t="s">
        <v>1394</v>
      </c>
      <c r="D703" s="75" t="s">
        <v>797</v>
      </c>
    </row>
    <row r="704" spans="1:4" ht="12" customHeight="1">
      <c r="A704" s="165"/>
      <c r="B704" s="119"/>
      <c r="C704" s="243"/>
      <c r="D704" s="94"/>
    </row>
    <row r="705" spans="1:4" ht="12" customHeight="1">
      <c r="A705" s="165"/>
      <c r="B705" s="119"/>
      <c r="C705" s="243"/>
      <c r="D705" s="94"/>
    </row>
    <row r="706" spans="1:4" ht="12" customHeight="1">
      <c r="A706" s="140" t="s">
        <v>139</v>
      </c>
      <c r="B706" s="119"/>
      <c r="C706" s="121" t="s">
        <v>1395</v>
      </c>
      <c r="D706" s="94"/>
    </row>
    <row r="707" spans="1:4" ht="12" customHeight="1">
      <c r="A707" s="154" t="s">
        <v>139</v>
      </c>
      <c r="B707" s="324" t="s">
        <v>2220</v>
      </c>
      <c r="C707" s="176" t="s">
        <v>1395</v>
      </c>
      <c r="D707" s="80" t="s">
        <v>302</v>
      </c>
    </row>
    <row r="708" spans="1:4" ht="12" customHeight="1">
      <c r="A708" s="114"/>
      <c r="B708" s="83" t="s">
        <v>2218</v>
      </c>
      <c r="C708" s="83" t="s">
        <v>2219</v>
      </c>
      <c r="D708" s="75" t="s">
        <v>714</v>
      </c>
    </row>
    <row r="709" spans="1:4" ht="12" customHeight="1">
      <c r="A709" s="244"/>
      <c r="B709" s="119"/>
      <c r="C709" s="243"/>
      <c r="D709" s="94"/>
    </row>
    <row r="710" spans="1:4" ht="12" customHeight="1">
      <c r="A710" s="182"/>
      <c r="B710" s="182"/>
      <c r="C710" s="183"/>
      <c r="D710" s="67"/>
    </row>
    <row r="711" spans="1:4" ht="12" customHeight="1">
      <c r="A711" s="182"/>
      <c r="B711" s="182"/>
      <c r="C711" s="183"/>
      <c r="D711" s="75"/>
    </row>
    <row r="712" spans="1:4" ht="12" customHeight="1">
      <c r="A712" s="114" t="s">
        <v>141</v>
      </c>
      <c r="B712" s="114"/>
      <c r="C712" s="121" t="s">
        <v>1396</v>
      </c>
      <c r="D712" s="75"/>
    </row>
    <row r="713" spans="1:4" ht="12" customHeight="1">
      <c r="A713" s="114" t="s">
        <v>141</v>
      </c>
      <c r="B713" s="86" t="s">
        <v>1397</v>
      </c>
      <c r="C713" s="86" t="s">
        <v>1398</v>
      </c>
      <c r="D713" s="75" t="s">
        <v>302</v>
      </c>
    </row>
    <row r="714" spans="1:4" ht="12" customHeight="1">
      <c r="A714" s="114" t="s">
        <v>141</v>
      </c>
      <c r="B714" s="86" t="s">
        <v>1399</v>
      </c>
      <c r="C714" s="86" t="s">
        <v>1400</v>
      </c>
      <c r="D714" s="75" t="s">
        <v>302</v>
      </c>
    </row>
    <row r="715" spans="1:4" ht="12" customHeight="1">
      <c r="A715" s="114" t="s">
        <v>141</v>
      </c>
      <c r="B715" s="86" t="s">
        <v>1401</v>
      </c>
      <c r="C715" s="86" t="s">
        <v>1402</v>
      </c>
      <c r="D715" s="75" t="s">
        <v>302</v>
      </c>
    </row>
    <row r="716" spans="1:4" ht="12" customHeight="1">
      <c r="A716" s="114" t="s">
        <v>141</v>
      </c>
      <c r="B716" s="86" t="s">
        <v>1403</v>
      </c>
      <c r="C716" s="85" t="s">
        <v>1404</v>
      </c>
      <c r="D716" s="75" t="s">
        <v>302</v>
      </c>
    </row>
    <row r="717" spans="1:4" ht="12" customHeight="1">
      <c r="A717" s="114" t="s">
        <v>141</v>
      </c>
      <c r="B717" s="86" t="s">
        <v>1405</v>
      </c>
      <c r="C717" s="85" t="s">
        <v>1406</v>
      </c>
      <c r="D717" s="75" t="s">
        <v>302</v>
      </c>
    </row>
    <row r="718" spans="1:4" ht="12" customHeight="1">
      <c r="A718" s="114" t="s">
        <v>141</v>
      </c>
      <c r="B718" s="86"/>
      <c r="C718" s="85"/>
      <c r="D718" s="75"/>
    </row>
    <row r="719" spans="1:4" ht="12" customHeight="1">
      <c r="A719" s="114" t="s">
        <v>141</v>
      </c>
      <c r="B719" s="125"/>
      <c r="C719" s="126"/>
      <c r="D719" s="75"/>
    </row>
    <row r="720" spans="1:4" ht="12" customHeight="1">
      <c r="A720" s="114" t="s">
        <v>141</v>
      </c>
      <c r="B720" s="125"/>
      <c r="C720" s="126"/>
      <c r="D720" s="75"/>
    </row>
    <row r="721" spans="1:4" ht="12" customHeight="1">
      <c r="A721" s="114" t="s">
        <v>141</v>
      </c>
      <c r="B721" s="192"/>
      <c r="C721" s="126"/>
      <c r="D721" s="75"/>
    </row>
    <row r="722" spans="1:4" ht="12" customHeight="1">
      <c r="A722" s="114" t="s">
        <v>141</v>
      </c>
      <c r="B722" s="150" t="s">
        <v>1407</v>
      </c>
      <c r="C722" s="115" t="s">
        <v>1408</v>
      </c>
      <c r="D722" s="75" t="s">
        <v>1269</v>
      </c>
    </row>
    <row r="723" spans="1:4" ht="12" customHeight="1">
      <c r="A723" s="114" t="s">
        <v>141</v>
      </c>
      <c r="B723" s="150" t="s">
        <v>1409</v>
      </c>
      <c r="C723" s="115" t="s">
        <v>1410</v>
      </c>
      <c r="D723" s="75" t="s">
        <v>1269</v>
      </c>
    </row>
    <row r="724" spans="1:4" ht="12" customHeight="1">
      <c r="A724" s="114" t="s">
        <v>141</v>
      </c>
      <c r="B724" s="150" t="s">
        <v>1411</v>
      </c>
      <c r="C724" s="115" t="s">
        <v>1412</v>
      </c>
      <c r="D724" s="75" t="s">
        <v>1269</v>
      </c>
    </row>
    <row r="725" spans="1:4" ht="12" customHeight="1">
      <c r="A725" s="114" t="s">
        <v>141</v>
      </c>
      <c r="B725" s="150" t="s">
        <v>1413</v>
      </c>
      <c r="C725" s="86" t="s">
        <v>1414</v>
      </c>
      <c r="D725" s="75" t="s">
        <v>1269</v>
      </c>
    </row>
    <row r="726" spans="1:4" ht="12" customHeight="1">
      <c r="A726" s="114" t="s">
        <v>141</v>
      </c>
      <c r="B726" s="119"/>
      <c r="C726" s="126"/>
      <c r="D726" s="75"/>
    </row>
    <row r="727" spans="1:4" ht="12" customHeight="1">
      <c r="A727" s="114" t="s">
        <v>141</v>
      </c>
      <c r="B727" s="97" t="s">
        <v>1415</v>
      </c>
      <c r="C727" s="97" t="s">
        <v>1416</v>
      </c>
      <c r="D727" s="75" t="s">
        <v>1237</v>
      </c>
    </row>
    <row r="728" spans="1:4" ht="12" customHeight="1">
      <c r="A728" s="114" t="s">
        <v>141</v>
      </c>
      <c r="B728" s="97" t="s">
        <v>1417</v>
      </c>
      <c r="C728" s="97" t="s">
        <v>2151</v>
      </c>
      <c r="D728" s="75" t="s">
        <v>1418</v>
      </c>
    </row>
    <row r="729" spans="1:4" ht="12" customHeight="1">
      <c r="A729" s="114" t="s">
        <v>141</v>
      </c>
      <c r="B729" s="97" t="s">
        <v>1419</v>
      </c>
      <c r="C729" s="97" t="s">
        <v>1420</v>
      </c>
      <c r="D729" s="75" t="s">
        <v>1418</v>
      </c>
    </row>
    <row r="730" spans="1:4" ht="12" customHeight="1">
      <c r="A730" s="114" t="s">
        <v>141</v>
      </c>
      <c r="B730" s="97" t="s">
        <v>1421</v>
      </c>
      <c r="C730" s="97" t="s">
        <v>1422</v>
      </c>
      <c r="D730" s="75" t="s">
        <v>1237</v>
      </c>
    </row>
    <row r="731" spans="1:4" ht="12" customHeight="1">
      <c r="A731" s="114" t="s">
        <v>141</v>
      </c>
      <c r="B731" s="97" t="s">
        <v>1423</v>
      </c>
      <c r="C731" s="97" t="s">
        <v>1424</v>
      </c>
      <c r="D731" s="75" t="s">
        <v>1237</v>
      </c>
    </row>
    <row r="732" spans="1:4" ht="12" customHeight="1">
      <c r="A732" s="114" t="s">
        <v>141</v>
      </c>
      <c r="B732" s="97" t="s">
        <v>1425</v>
      </c>
      <c r="C732" s="97" t="s">
        <v>1426</v>
      </c>
      <c r="D732" s="75" t="s">
        <v>1237</v>
      </c>
    </row>
    <row r="733" spans="1:4" ht="12" customHeight="1">
      <c r="A733" s="114" t="s">
        <v>141</v>
      </c>
      <c r="B733" s="97" t="s">
        <v>1427</v>
      </c>
      <c r="C733" s="97" t="s">
        <v>1428</v>
      </c>
      <c r="D733" s="75" t="s">
        <v>1237</v>
      </c>
    </row>
    <row r="734" spans="1:4" ht="12" customHeight="1">
      <c r="A734" s="114" t="s">
        <v>141</v>
      </c>
      <c r="B734" s="97" t="s">
        <v>1429</v>
      </c>
      <c r="C734" s="97" t="s">
        <v>1430</v>
      </c>
      <c r="D734" s="75" t="s">
        <v>302</v>
      </c>
    </row>
    <row r="735" spans="1:4" ht="12" customHeight="1">
      <c r="A735" s="114" t="s">
        <v>141</v>
      </c>
      <c r="B735" s="245" t="s">
        <v>1431</v>
      </c>
      <c r="C735" s="245" t="s">
        <v>1432</v>
      </c>
      <c r="D735" s="80" t="s">
        <v>1418</v>
      </c>
    </row>
    <row r="736" spans="1:4" ht="12" customHeight="1">
      <c r="A736" s="114" t="s">
        <v>141</v>
      </c>
      <c r="B736" s="97" t="s">
        <v>1433</v>
      </c>
      <c r="C736" s="97" t="s">
        <v>1434</v>
      </c>
      <c r="D736" s="75" t="s">
        <v>1269</v>
      </c>
    </row>
    <row r="737" spans="1:4" ht="12" customHeight="1">
      <c r="A737" s="114" t="s">
        <v>141</v>
      </c>
      <c r="B737" s="97" t="s">
        <v>1435</v>
      </c>
      <c r="C737" s="97" t="s">
        <v>2064</v>
      </c>
      <c r="D737" s="80" t="s">
        <v>1418</v>
      </c>
    </row>
    <row r="738" spans="1:4" ht="12" customHeight="1">
      <c r="A738" s="114" t="s">
        <v>141</v>
      </c>
      <c r="B738" s="97" t="s">
        <v>1436</v>
      </c>
      <c r="C738" s="97" t="s">
        <v>2065</v>
      </c>
      <c r="D738" s="80" t="s">
        <v>1418</v>
      </c>
    </row>
    <row r="739" spans="1:4" ht="12" customHeight="1">
      <c r="A739" s="114" t="s">
        <v>141</v>
      </c>
      <c r="B739" s="245" t="s">
        <v>1437</v>
      </c>
      <c r="C739" s="245" t="s">
        <v>1438</v>
      </c>
      <c r="D739" s="75" t="s">
        <v>1269</v>
      </c>
    </row>
    <row r="740" spans="1:4" ht="12" customHeight="1">
      <c r="A740" s="114" t="s">
        <v>141</v>
      </c>
      <c r="B740" s="97" t="s">
        <v>1439</v>
      </c>
      <c r="C740" s="97" t="s">
        <v>2066</v>
      </c>
      <c r="D740" s="80" t="s">
        <v>1418</v>
      </c>
    </row>
    <row r="741" spans="1:4" ht="12" customHeight="1">
      <c r="A741" s="114" t="s">
        <v>141</v>
      </c>
      <c r="B741" s="97" t="s">
        <v>1440</v>
      </c>
      <c r="C741" s="97" t="s">
        <v>1441</v>
      </c>
      <c r="D741" s="80" t="s">
        <v>1418</v>
      </c>
    </row>
    <row r="742" spans="1:4" ht="12" customHeight="1">
      <c r="A742" s="114" t="s">
        <v>141</v>
      </c>
      <c r="B742" s="97" t="s">
        <v>1442</v>
      </c>
      <c r="C742" s="97" t="s">
        <v>1443</v>
      </c>
      <c r="D742" s="105" t="s">
        <v>302</v>
      </c>
    </row>
    <row r="743" spans="1:4" ht="12" customHeight="1">
      <c r="A743" s="114" t="s">
        <v>141</v>
      </c>
      <c r="B743" s="97" t="s">
        <v>1444</v>
      </c>
      <c r="C743" s="97" t="s">
        <v>1445</v>
      </c>
      <c r="D743" s="75" t="s">
        <v>714</v>
      </c>
    </row>
    <row r="744" spans="1:4" ht="12" customHeight="1">
      <c r="A744" s="114"/>
      <c r="B744" s="97"/>
      <c r="C744" s="97"/>
      <c r="D744" s="106"/>
    </row>
    <row r="745" spans="1:4" ht="12" customHeight="1">
      <c r="A745" s="114"/>
      <c r="B745" s="97"/>
      <c r="C745" s="97"/>
      <c r="D745" s="106"/>
    </row>
    <row r="746" spans="1:4" ht="12" customHeight="1">
      <c r="A746" s="114"/>
      <c r="B746" s="246"/>
      <c r="C746" s="247"/>
      <c r="D746" s="75"/>
    </row>
    <row r="747" spans="1:4" ht="12" customHeight="1">
      <c r="A747" s="114" t="s">
        <v>143</v>
      </c>
      <c r="B747" s="119"/>
      <c r="C747" s="121" t="s">
        <v>1446</v>
      </c>
      <c r="D747" s="75"/>
    </row>
    <row r="748" spans="1:4" ht="12" customHeight="1">
      <c r="A748" s="114" t="s">
        <v>143</v>
      </c>
      <c r="B748" s="248" t="s">
        <v>1447</v>
      </c>
      <c r="C748" s="97" t="s">
        <v>1448</v>
      </c>
      <c r="D748" s="75" t="s">
        <v>1237</v>
      </c>
    </row>
    <row r="749" spans="1:4" ht="12" customHeight="1">
      <c r="A749" s="114" t="s">
        <v>143</v>
      </c>
      <c r="B749" s="248" t="s">
        <v>1449</v>
      </c>
      <c r="C749" s="186" t="s">
        <v>1450</v>
      </c>
      <c r="D749" s="75" t="s">
        <v>1237</v>
      </c>
    </row>
    <row r="750" spans="1:4" ht="12" customHeight="1">
      <c r="A750" s="114" t="s">
        <v>143</v>
      </c>
      <c r="B750" s="248" t="s">
        <v>1451</v>
      </c>
      <c r="C750" s="97" t="s">
        <v>1452</v>
      </c>
      <c r="D750" s="75" t="s">
        <v>1237</v>
      </c>
    </row>
    <row r="751" spans="1:4" ht="12" customHeight="1">
      <c r="A751" s="114" t="s">
        <v>143</v>
      </c>
      <c r="B751" s="119" t="s">
        <v>1453</v>
      </c>
      <c r="C751" s="126" t="s">
        <v>1454</v>
      </c>
      <c r="D751" s="75" t="s">
        <v>1237</v>
      </c>
    </row>
    <row r="752" spans="1:4" ht="12" customHeight="1">
      <c r="A752" s="114" t="s">
        <v>143</v>
      </c>
      <c r="B752" s="97" t="s">
        <v>1455</v>
      </c>
      <c r="C752" s="97" t="s">
        <v>1456</v>
      </c>
      <c r="D752" s="75" t="s">
        <v>302</v>
      </c>
    </row>
    <row r="753" spans="1:4" ht="12" customHeight="1">
      <c r="A753" s="114" t="s">
        <v>143</v>
      </c>
      <c r="B753" s="186"/>
      <c r="C753" s="186"/>
      <c r="D753" s="82"/>
    </row>
    <row r="754" spans="1:4" ht="12" customHeight="1">
      <c r="A754" s="114" t="s">
        <v>143</v>
      </c>
      <c r="B754" s="186"/>
      <c r="C754" s="186"/>
      <c r="D754" s="82"/>
    </row>
    <row r="755" spans="1:4" ht="12" customHeight="1">
      <c r="A755" s="114" t="s">
        <v>143</v>
      </c>
      <c r="B755" s="97" t="s">
        <v>1457</v>
      </c>
      <c r="C755" s="97" t="s">
        <v>1458</v>
      </c>
      <c r="D755" s="75" t="s">
        <v>302</v>
      </c>
    </row>
    <row r="756" spans="1:4" ht="12" customHeight="1">
      <c r="A756" s="114" t="s">
        <v>143</v>
      </c>
      <c r="B756" s="97"/>
      <c r="C756" s="97"/>
      <c r="D756" s="82"/>
    </row>
    <row r="757" spans="1:4" ht="12" customHeight="1">
      <c r="A757" s="114" t="s">
        <v>145</v>
      </c>
      <c r="B757" s="249"/>
      <c r="C757" s="250" t="s">
        <v>1459</v>
      </c>
      <c r="D757" s="75"/>
    </row>
    <row r="758" spans="1:4" ht="12" customHeight="1">
      <c r="A758" s="114" t="s">
        <v>145</v>
      </c>
      <c r="B758" s="97" t="s">
        <v>1460</v>
      </c>
      <c r="C758" s="97" t="s">
        <v>1461</v>
      </c>
      <c r="D758" s="75" t="s">
        <v>1462</v>
      </c>
    </row>
    <row r="759" spans="1:4" ht="12" customHeight="1">
      <c r="A759" s="114" t="s">
        <v>145</v>
      </c>
      <c r="B759" s="97" t="s">
        <v>1463</v>
      </c>
      <c r="C759" s="97" t="s">
        <v>1464</v>
      </c>
      <c r="D759" s="75" t="s">
        <v>1462</v>
      </c>
    </row>
    <row r="760" spans="1:4" ht="12" customHeight="1">
      <c r="A760" s="114" t="s">
        <v>145</v>
      </c>
      <c r="B760" s="97" t="s">
        <v>1465</v>
      </c>
      <c r="C760" s="97" t="s">
        <v>1466</v>
      </c>
      <c r="D760" s="75" t="s">
        <v>302</v>
      </c>
    </row>
    <row r="761" spans="1:4" ht="12" customHeight="1">
      <c r="A761" s="114" t="s">
        <v>145</v>
      </c>
      <c r="B761" s="97" t="s">
        <v>1467</v>
      </c>
      <c r="C761" s="97" t="s">
        <v>1468</v>
      </c>
      <c r="D761" s="75" t="s">
        <v>302</v>
      </c>
    </row>
    <row r="762" spans="1:4" ht="12" customHeight="1">
      <c r="A762" s="114" t="s">
        <v>145</v>
      </c>
      <c r="B762" s="97"/>
      <c r="C762" s="97"/>
      <c r="D762" s="75"/>
    </row>
    <row r="763" spans="1:4" ht="12" customHeight="1">
      <c r="A763" s="114" t="s">
        <v>145</v>
      </c>
      <c r="B763" s="246"/>
      <c r="C763" s="247"/>
      <c r="D763" s="75"/>
    </row>
    <row r="764" spans="1:4" ht="12" customHeight="1">
      <c r="A764" s="114" t="s">
        <v>147</v>
      </c>
      <c r="B764" s="251"/>
      <c r="C764" s="252" t="s">
        <v>1469</v>
      </c>
      <c r="D764" s="81"/>
    </row>
    <row r="765" spans="1:4" ht="12" customHeight="1">
      <c r="A765" s="114" t="s">
        <v>147</v>
      </c>
      <c r="B765" s="97" t="s">
        <v>1470</v>
      </c>
      <c r="C765" s="97" t="s">
        <v>1471</v>
      </c>
      <c r="D765" s="75" t="s">
        <v>1237</v>
      </c>
    </row>
    <row r="766" spans="1:4" ht="12" customHeight="1">
      <c r="A766" s="114" t="s">
        <v>147</v>
      </c>
      <c r="B766" s="97" t="s">
        <v>1472</v>
      </c>
      <c r="C766" s="97" t="s">
        <v>1473</v>
      </c>
      <c r="D766" s="75" t="s">
        <v>1462</v>
      </c>
    </row>
    <row r="767" spans="1:4" ht="12" customHeight="1">
      <c r="A767" s="114" t="s">
        <v>147</v>
      </c>
      <c r="B767" s="182"/>
      <c r="C767" s="183"/>
      <c r="D767" s="67"/>
    </row>
    <row r="768" spans="1:4" ht="12" customHeight="1">
      <c r="A768" s="114" t="s">
        <v>151</v>
      </c>
      <c r="B768" s="174"/>
      <c r="C768" s="213" t="s">
        <v>1474</v>
      </c>
      <c r="D768" s="79" t="s">
        <v>302</v>
      </c>
    </row>
    <row r="769" spans="1:4" ht="12" customHeight="1">
      <c r="A769" s="114" t="s">
        <v>151</v>
      </c>
      <c r="B769" s="150" t="s">
        <v>1475</v>
      </c>
      <c r="C769" s="115" t="s">
        <v>1476</v>
      </c>
      <c r="D769" s="75" t="s">
        <v>302</v>
      </c>
    </row>
    <row r="770" spans="1:4" ht="12" customHeight="1">
      <c r="A770" s="114" t="s">
        <v>151</v>
      </c>
      <c r="B770" s="150" t="s">
        <v>1477</v>
      </c>
      <c r="C770" s="115" t="s">
        <v>1478</v>
      </c>
      <c r="D770" s="75" t="s">
        <v>302</v>
      </c>
    </row>
    <row r="771" spans="1:4" ht="12" customHeight="1">
      <c r="A771" s="114" t="s">
        <v>151</v>
      </c>
      <c r="B771" s="150" t="s">
        <v>1479</v>
      </c>
      <c r="C771" s="115" t="s">
        <v>1480</v>
      </c>
      <c r="D771" s="75" t="s">
        <v>302</v>
      </c>
    </row>
    <row r="772" spans="1:4" ht="12" customHeight="1">
      <c r="A772" s="114" t="s">
        <v>151</v>
      </c>
      <c r="B772" s="150" t="s">
        <v>1481</v>
      </c>
      <c r="C772" s="115" t="s">
        <v>1482</v>
      </c>
      <c r="D772" s="75" t="s">
        <v>302</v>
      </c>
    </row>
    <row r="773" spans="1:4" ht="12" customHeight="1">
      <c r="A773" s="114" t="s">
        <v>151</v>
      </c>
      <c r="B773" s="150" t="s">
        <v>1483</v>
      </c>
      <c r="C773" s="115" t="s">
        <v>1484</v>
      </c>
      <c r="D773" s="75" t="s">
        <v>302</v>
      </c>
    </row>
    <row r="774" spans="1:4" ht="12" customHeight="1">
      <c r="A774" s="114" t="s">
        <v>151</v>
      </c>
      <c r="B774" s="150" t="s">
        <v>1485</v>
      </c>
      <c r="C774" s="115" t="s">
        <v>1486</v>
      </c>
      <c r="D774" s="75" t="s">
        <v>302</v>
      </c>
    </row>
    <row r="775" spans="1:4" ht="12" customHeight="1">
      <c r="A775" s="114" t="s">
        <v>151</v>
      </c>
      <c r="B775" s="150"/>
      <c r="C775" s="115"/>
      <c r="D775" s="75" t="s">
        <v>302</v>
      </c>
    </row>
    <row r="776" spans="1:4" ht="12" customHeight="1">
      <c r="A776" s="114" t="s">
        <v>151</v>
      </c>
      <c r="B776" s="192"/>
      <c r="C776" s="126"/>
      <c r="D776" s="75" t="s">
        <v>302</v>
      </c>
    </row>
    <row r="777" spans="1:4" ht="12" customHeight="1">
      <c r="A777" s="114" t="s">
        <v>151</v>
      </c>
      <c r="B777" s="119" t="s">
        <v>1487</v>
      </c>
      <c r="C777" s="126" t="s">
        <v>1488</v>
      </c>
      <c r="D777" s="75" t="s">
        <v>302</v>
      </c>
    </row>
    <row r="778" spans="1:4" ht="12" customHeight="1">
      <c r="A778" s="114" t="s">
        <v>151</v>
      </c>
      <c r="B778" s="119" t="s">
        <v>1489</v>
      </c>
      <c r="C778" s="126" t="s">
        <v>1490</v>
      </c>
      <c r="D778" s="75" t="s">
        <v>302</v>
      </c>
    </row>
    <row r="779" spans="1:4" ht="12" customHeight="1">
      <c r="A779" s="140" t="s">
        <v>151</v>
      </c>
      <c r="B779" s="97" t="s">
        <v>1491</v>
      </c>
      <c r="C779" s="163" t="s">
        <v>1492</v>
      </c>
      <c r="D779" s="75" t="s">
        <v>302</v>
      </c>
    </row>
    <row r="780" spans="1:4" ht="12" customHeight="1">
      <c r="A780" s="140" t="s">
        <v>151</v>
      </c>
      <c r="B780" s="119"/>
      <c r="C780" s="115"/>
      <c r="D780" s="75"/>
    </row>
    <row r="781" spans="1:4" ht="12" customHeight="1">
      <c r="A781" s="235"/>
      <c r="B781" s="182"/>
      <c r="C781" s="253"/>
    </row>
    <row r="782" spans="1:4" ht="12" customHeight="1">
      <c r="A782" s="154" t="s">
        <v>153</v>
      </c>
      <c r="B782" s="119"/>
      <c r="C782" s="96" t="s">
        <v>1493</v>
      </c>
      <c r="D782" s="75"/>
    </row>
    <row r="783" spans="1:4" ht="12" customHeight="1">
      <c r="A783" s="154" t="s">
        <v>153</v>
      </c>
      <c r="B783" s="97" t="s">
        <v>1494</v>
      </c>
      <c r="C783" s="97" t="s">
        <v>1495</v>
      </c>
      <c r="D783" s="75" t="s">
        <v>1237</v>
      </c>
    </row>
    <row r="784" spans="1:4" ht="12" customHeight="1">
      <c r="A784" s="148" t="s">
        <v>153</v>
      </c>
      <c r="B784" s="150" t="s">
        <v>1496</v>
      </c>
      <c r="C784" s="123" t="s">
        <v>1497</v>
      </c>
      <c r="D784" s="75" t="s">
        <v>346</v>
      </c>
    </row>
    <row r="785" spans="1:4" ht="12" customHeight="1">
      <c r="A785" s="148" t="s">
        <v>153</v>
      </c>
      <c r="B785" s="150" t="s">
        <v>1498</v>
      </c>
      <c r="C785" s="123" t="s">
        <v>1499</v>
      </c>
      <c r="D785" s="75" t="s">
        <v>1462</v>
      </c>
    </row>
    <row r="786" spans="1:4" ht="12" customHeight="1">
      <c r="A786" s="148" t="s">
        <v>153</v>
      </c>
      <c r="B786" s="97" t="s">
        <v>1500</v>
      </c>
      <c r="C786" s="97" t="s">
        <v>1501</v>
      </c>
      <c r="D786" s="75" t="s">
        <v>1462</v>
      </c>
    </row>
    <row r="787" spans="1:4" ht="12" customHeight="1">
      <c r="A787" s="148" t="s">
        <v>153</v>
      </c>
      <c r="B787" s="97" t="s">
        <v>1502</v>
      </c>
      <c r="C787" s="97" t="s">
        <v>1503</v>
      </c>
      <c r="D787" s="75" t="s">
        <v>346</v>
      </c>
    </row>
    <row r="788" spans="1:4" ht="12" customHeight="1">
      <c r="A788" s="148" t="s">
        <v>153</v>
      </c>
      <c r="B788" s="97" t="s">
        <v>2067</v>
      </c>
      <c r="C788" s="115" t="s">
        <v>2068</v>
      </c>
      <c r="D788" s="75" t="s">
        <v>346</v>
      </c>
    </row>
    <row r="789" spans="1:4" ht="12" customHeight="1">
      <c r="A789" s="148" t="s">
        <v>153</v>
      </c>
      <c r="B789" s="150" t="s">
        <v>1504</v>
      </c>
      <c r="C789" s="115" t="s">
        <v>1505</v>
      </c>
      <c r="D789" s="75" t="s">
        <v>346</v>
      </c>
    </row>
    <row r="790" spans="1:4" ht="12" customHeight="1">
      <c r="A790" s="148" t="s">
        <v>153</v>
      </c>
      <c r="B790" s="150" t="s">
        <v>1506</v>
      </c>
      <c r="C790" s="115" t="s">
        <v>1507</v>
      </c>
      <c r="D790" s="75" t="s">
        <v>346</v>
      </c>
    </row>
    <row r="791" spans="1:4" ht="12" customHeight="1">
      <c r="A791" s="148" t="s">
        <v>153</v>
      </c>
      <c r="B791" s="97" t="s">
        <v>1508</v>
      </c>
      <c r="C791" s="97" t="s">
        <v>1509</v>
      </c>
      <c r="D791" s="75" t="s">
        <v>346</v>
      </c>
    </row>
    <row r="792" spans="1:4" ht="12" customHeight="1">
      <c r="A792" s="148" t="s">
        <v>153</v>
      </c>
      <c r="B792" s="150" t="s">
        <v>1510</v>
      </c>
      <c r="C792" s="115" t="s">
        <v>1511</v>
      </c>
      <c r="D792" s="75" t="s">
        <v>346</v>
      </c>
    </row>
    <row r="793" spans="1:4" ht="12" customHeight="1">
      <c r="A793" s="148" t="s">
        <v>153</v>
      </c>
      <c r="B793" s="150" t="s">
        <v>1512</v>
      </c>
      <c r="C793" s="115" t="s">
        <v>1513</v>
      </c>
      <c r="D793" s="75" t="s">
        <v>346</v>
      </c>
    </row>
    <row r="794" spans="1:4" ht="12" customHeight="1">
      <c r="A794" s="148" t="s">
        <v>153</v>
      </c>
      <c r="B794" s="150" t="s">
        <v>1514</v>
      </c>
      <c r="C794" s="115" t="s">
        <v>1515</v>
      </c>
      <c r="D794" s="75" t="s">
        <v>346</v>
      </c>
    </row>
    <row r="795" spans="1:4" ht="12" customHeight="1">
      <c r="A795" s="148" t="s">
        <v>153</v>
      </c>
      <c r="B795" s="150" t="s">
        <v>1516</v>
      </c>
      <c r="C795" s="115" t="s">
        <v>1517</v>
      </c>
      <c r="D795" s="75" t="s">
        <v>346</v>
      </c>
    </row>
    <row r="796" spans="1:4" ht="12" customHeight="1">
      <c r="A796" s="148" t="s">
        <v>153</v>
      </c>
      <c r="B796" s="130" t="s">
        <v>1518</v>
      </c>
      <c r="C796" s="97" t="s">
        <v>1519</v>
      </c>
      <c r="D796" s="75" t="s">
        <v>346</v>
      </c>
    </row>
    <row r="797" spans="1:4" ht="12" customHeight="1">
      <c r="A797" s="148" t="s">
        <v>153</v>
      </c>
      <c r="B797" s="130" t="s">
        <v>2069</v>
      </c>
      <c r="C797" s="97" t="s">
        <v>2070</v>
      </c>
      <c r="D797" s="75" t="s">
        <v>346</v>
      </c>
    </row>
    <row r="798" spans="1:4" ht="12" customHeight="1">
      <c r="A798" s="148" t="s">
        <v>153</v>
      </c>
      <c r="B798" s="130" t="s">
        <v>2071</v>
      </c>
      <c r="C798" s="97" t="s">
        <v>2072</v>
      </c>
      <c r="D798" s="75" t="s">
        <v>346</v>
      </c>
    </row>
    <row r="799" spans="1:4" ht="12" customHeight="1">
      <c r="A799" s="148" t="s">
        <v>153</v>
      </c>
      <c r="B799" s="150" t="s">
        <v>2073</v>
      </c>
      <c r="C799" s="115" t="s">
        <v>2074</v>
      </c>
      <c r="D799" s="75" t="s">
        <v>346</v>
      </c>
    </row>
    <row r="800" spans="1:4" ht="12" customHeight="1">
      <c r="A800" s="148" t="s">
        <v>153</v>
      </c>
      <c r="B800" s="150" t="s">
        <v>2075</v>
      </c>
      <c r="C800" s="115" t="s">
        <v>2076</v>
      </c>
      <c r="D800" s="75" t="s">
        <v>346</v>
      </c>
    </row>
    <row r="801" spans="1:4" ht="12" customHeight="1">
      <c r="A801" s="148" t="s">
        <v>153</v>
      </c>
      <c r="B801" s="150" t="s">
        <v>2077</v>
      </c>
      <c r="C801" s="115" t="s">
        <v>2078</v>
      </c>
      <c r="D801" s="75" t="s">
        <v>346</v>
      </c>
    </row>
    <row r="802" spans="1:4" ht="12" customHeight="1">
      <c r="A802" s="148" t="s">
        <v>153</v>
      </c>
      <c r="B802" s="150" t="s">
        <v>2079</v>
      </c>
      <c r="C802" s="115" t="s">
        <v>2080</v>
      </c>
      <c r="D802" s="75" t="s">
        <v>346</v>
      </c>
    </row>
    <row r="803" spans="1:4" ht="12" customHeight="1">
      <c r="A803" s="148" t="s">
        <v>153</v>
      </c>
      <c r="B803" s="150" t="s">
        <v>2081</v>
      </c>
      <c r="C803" s="97" t="s">
        <v>2082</v>
      </c>
      <c r="D803" s="75" t="s">
        <v>346</v>
      </c>
    </row>
    <row r="804" spans="1:4" ht="12" customHeight="1">
      <c r="A804" s="148" t="s">
        <v>153</v>
      </c>
      <c r="B804" s="150" t="s">
        <v>1520</v>
      </c>
      <c r="C804" s="126" t="s">
        <v>1521</v>
      </c>
      <c r="D804" s="75" t="s">
        <v>346</v>
      </c>
    </row>
    <row r="805" spans="1:4" ht="12" customHeight="1">
      <c r="A805" s="148" t="s">
        <v>153</v>
      </c>
      <c r="B805" s="130" t="s">
        <v>1522</v>
      </c>
      <c r="C805" s="97" t="s">
        <v>1523</v>
      </c>
      <c r="D805" s="75" t="s">
        <v>346</v>
      </c>
    </row>
    <row r="806" spans="1:4" ht="12" customHeight="1">
      <c r="A806" s="148" t="s">
        <v>153</v>
      </c>
      <c r="B806" s="254" t="s">
        <v>1524</v>
      </c>
      <c r="C806" s="126" t="s">
        <v>1525</v>
      </c>
      <c r="D806" s="75" t="s">
        <v>346</v>
      </c>
    </row>
    <row r="807" spans="1:4" ht="12" customHeight="1">
      <c r="A807" s="148" t="s">
        <v>153</v>
      </c>
      <c r="B807" s="119" t="s">
        <v>1526</v>
      </c>
      <c r="C807" s="126" t="s">
        <v>1527</v>
      </c>
      <c r="D807" s="75" t="s">
        <v>346</v>
      </c>
    </row>
    <row r="808" spans="1:4" ht="12" customHeight="1">
      <c r="A808" s="148" t="s">
        <v>153</v>
      </c>
      <c r="B808" s="119" t="s">
        <v>1528</v>
      </c>
      <c r="C808" s="126" t="s">
        <v>1529</v>
      </c>
      <c r="D808" s="75" t="s">
        <v>346</v>
      </c>
    </row>
    <row r="809" spans="1:4" ht="12" customHeight="1">
      <c r="A809" s="148" t="s">
        <v>153</v>
      </c>
      <c r="B809" s="97" t="s">
        <v>1530</v>
      </c>
      <c r="C809" s="97" t="s">
        <v>1531</v>
      </c>
      <c r="D809" s="108" t="s">
        <v>302</v>
      </c>
    </row>
    <row r="810" spans="1:4" ht="12" customHeight="1">
      <c r="A810" s="148" t="s">
        <v>153</v>
      </c>
      <c r="B810" s="97" t="s">
        <v>1532</v>
      </c>
      <c r="C810" s="255" t="s">
        <v>1533</v>
      </c>
      <c r="D810" s="75" t="s">
        <v>346</v>
      </c>
    </row>
    <row r="811" spans="1:4" ht="12" customHeight="1">
      <c r="A811" s="148" t="s">
        <v>153</v>
      </c>
      <c r="B811" s="245" t="s">
        <v>1534</v>
      </c>
      <c r="C811" s="255" t="s">
        <v>1535</v>
      </c>
      <c r="D811" s="75" t="s">
        <v>346</v>
      </c>
    </row>
    <row r="812" spans="1:4" ht="12" customHeight="1">
      <c r="A812" s="148" t="s">
        <v>155</v>
      </c>
      <c r="B812" s="206" t="s">
        <v>1536</v>
      </c>
      <c r="C812" s="126" t="s">
        <v>1537</v>
      </c>
      <c r="D812" s="75" t="s">
        <v>346</v>
      </c>
    </row>
    <row r="813" spans="1:4" ht="12" customHeight="1">
      <c r="A813" s="114" t="s">
        <v>157</v>
      </c>
      <c r="B813" s="237"/>
      <c r="C813" s="121" t="s">
        <v>1538</v>
      </c>
      <c r="D813" s="75"/>
    </row>
    <row r="814" spans="1:4" ht="12" customHeight="1">
      <c r="A814" s="114" t="s">
        <v>157</v>
      </c>
      <c r="B814" s="119" t="s">
        <v>1539</v>
      </c>
      <c r="C814" s="126" t="s">
        <v>1540</v>
      </c>
      <c r="D814" s="84" t="s">
        <v>302</v>
      </c>
    </row>
    <row r="815" spans="1:4" ht="12" customHeight="1">
      <c r="A815" s="114" t="s">
        <v>157</v>
      </c>
      <c r="B815" s="97" t="s">
        <v>1541</v>
      </c>
      <c r="C815" s="97" t="s">
        <v>1542</v>
      </c>
      <c r="D815" s="75" t="s">
        <v>302</v>
      </c>
    </row>
    <row r="816" spans="1:4" ht="12" customHeight="1">
      <c r="A816" s="114" t="s">
        <v>157</v>
      </c>
      <c r="B816" s="97" t="s">
        <v>1543</v>
      </c>
      <c r="C816" s="97" t="s">
        <v>1544</v>
      </c>
      <c r="D816" s="75" t="s">
        <v>302</v>
      </c>
    </row>
    <row r="817" spans="1:4" ht="12" customHeight="1">
      <c r="A817" s="114" t="s">
        <v>157</v>
      </c>
      <c r="B817" s="119" t="s">
        <v>1545</v>
      </c>
      <c r="C817" s="126" t="s">
        <v>1546</v>
      </c>
      <c r="D817" s="75" t="s">
        <v>302</v>
      </c>
    </row>
    <row r="818" spans="1:4" ht="12" customHeight="1">
      <c r="A818" s="114" t="s">
        <v>157</v>
      </c>
      <c r="B818" s="119"/>
      <c r="C818" s="126"/>
      <c r="D818" s="75"/>
    </row>
    <row r="819" spans="1:4" ht="12" customHeight="1">
      <c r="A819" s="114" t="s">
        <v>157</v>
      </c>
      <c r="B819" s="182"/>
      <c r="C819" s="253"/>
      <c r="D819" s="67"/>
    </row>
    <row r="820" spans="1:4" ht="12" customHeight="1">
      <c r="A820" s="114" t="s">
        <v>159</v>
      </c>
      <c r="B820" s="119"/>
      <c r="C820" s="96" t="s">
        <v>1547</v>
      </c>
      <c r="D820" s="75"/>
    </row>
    <row r="821" spans="1:4" ht="12" customHeight="1">
      <c r="A821" s="114" t="s">
        <v>159</v>
      </c>
      <c r="B821" s="167" t="s">
        <v>1548</v>
      </c>
      <c r="C821" s="161" t="s">
        <v>1549</v>
      </c>
      <c r="D821" s="75" t="s">
        <v>302</v>
      </c>
    </row>
    <row r="822" spans="1:4" ht="24.75">
      <c r="A822" s="114" t="s">
        <v>159</v>
      </c>
      <c r="B822" s="167" t="s">
        <v>1550</v>
      </c>
      <c r="C822" s="161" t="s">
        <v>1551</v>
      </c>
      <c r="D822" s="75" t="s">
        <v>302</v>
      </c>
    </row>
    <row r="823" spans="1:4" ht="12" customHeight="1">
      <c r="A823" s="114" t="s">
        <v>159</v>
      </c>
      <c r="B823" s="155" t="s">
        <v>1552</v>
      </c>
      <c r="C823" s="155" t="s">
        <v>1553</v>
      </c>
      <c r="D823" s="75" t="s">
        <v>302</v>
      </c>
    </row>
    <row r="824" spans="1:4" ht="12" customHeight="1">
      <c r="A824" s="114" t="s">
        <v>159</v>
      </c>
      <c r="B824" s="97" t="s">
        <v>1554</v>
      </c>
      <c r="C824" s="97" t="s">
        <v>1555</v>
      </c>
      <c r="D824" s="75" t="s">
        <v>302</v>
      </c>
    </row>
    <row r="825" spans="1:4" ht="12" customHeight="1">
      <c r="A825" s="114" t="s">
        <v>159</v>
      </c>
      <c r="B825" s="97" t="s">
        <v>1556</v>
      </c>
      <c r="C825" s="97" t="s">
        <v>1557</v>
      </c>
      <c r="D825" s="75" t="s">
        <v>302</v>
      </c>
    </row>
    <row r="826" spans="1:4" ht="12" customHeight="1">
      <c r="A826" s="114" t="s">
        <v>159</v>
      </c>
      <c r="B826" s="97" t="s">
        <v>1558</v>
      </c>
      <c r="C826" s="97" t="s">
        <v>1559</v>
      </c>
      <c r="D826" s="75" t="s">
        <v>302</v>
      </c>
    </row>
    <row r="827" spans="1:4" ht="12" customHeight="1">
      <c r="A827" s="114" t="s">
        <v>159</v>
      </c>
      <c r="B827" s="155" t="s">
        <v>1560</v>
      </c>
      <c r="C827" s="155" t="s">
        <v>1561</v>
      </c>
      <c r="D827" s="75" t="s">
        <v>302</v>
      </c>
    </row>
    <row r="828" spans="1:4" ht="24.75">
      <c r="A828" s="114" t="s">
        <v>159</v>
      </c>
      <c r="B828" s="256" t="s">
        <v>1562</v>
      </c>
      <c r="C828" s="155" t="s">
        <v>1563</v>
      </c>
      <c r="D828" s="75" t="s">
        <v>302</v>
      </c>
    </row>
    <row r="829" spans="1:4" ht="12" customHeight="1">
      <c r="A829" s="114" t="s">
        <v>159</v>
      </c>
      <c r="B829" s="97" t="s">
        <v>1564</v>
      </c>
      <c r="C829" s="97" t="s">
        <v>1565</v>
      </c>
      <c r="D829" s="75" t="s">
        <v>302</v>
      </c>
    </row>
    <row r="830" spans="1:4" ht="12" customHeight="1">
      <c r="A830" s="114" t="s">
        <v>159</v>
      </c>
      <c r="B830" s="155" t="s">
        <v>1566</v>
      </c>
      <c r="C830" s="155" t="s">
        <v>1567</v>
      </c>
      <c r="D830" s="75" t="s">
        <v>302</v>
      </c>
    </row>
    <row r="831" spans="1:4" ht="12" customHeight="1">
      <c r="A831" s="114" t="s">
        <v>159</v>
      </c>
      <c r="B831" s="155" t="s">
        <v>1568</v>
      </c>
      <c r="C831" s="155" t="s">
        <v>1569</v>
      </c>
      <c r="D831" s="75" t="s">
        <v>302</v>
      </c>
    </row>
    <row r="832" spans="1:4" ht="12" customHeight="1">
      <c r="A832" s="114" t="s">
        <v>159</v>
      </c>
      <c r="B832" s="155" t="s">
        <v>1570</v>
      </c>
      <c r="C832" s="155" t="s">
        <v>1571</v>
      </c>
      <c r="D832" s="75" t="s">
        <v>302</v>
      </c>
    </row>
    <row r="833" spans="1:4" ht="24.75">
      <c r="A833" s="114" t="s">
        <v>159</v>
      </c>
      <c r="B833" s="256" t="s">
        <v>1572</v>
      </c>
      <c r="C833" s="155" t="s">
        <v>1573</v>
      </c>
      <c r="D833" s="75" t="s">
        <v>302</v>
      </c>
    </row>
    <row r="834" spans="1:4" ht="12" customHeight="1">
      <c r="A834" s="114" t="s">
        <v>159</v>
      </c>
      <c r="B834" s="155" t="s">
        <v>1574</v>
      </c>
      <c r="C834" s="155" t="s">
        <v>1575</v>
      </c>
      <c r="D834" s="75" t="s">
        <v>302</v>
      </c>
    </row>
    <row r="835" spans="1:4" ht="12" customHeight="1">
      <c r="A835" s="114" t="s">
        <v>159</v>
      </c>
      <c r="B835" s="97" t="s">
        <v>1576</v>
      </c>
      <c r="C835" s="97" t="s">
        <v>1577</v>
      </c>
      <c r="D835" s="75" t="s">
        <v>302</v>
      </c>
    </row>
    <row r="836" spans="1:4" ht="12" customHeight="1">
      <c r="A836" s="114" t="s">
        <v>159</v>
      </c>
      <c r="B836" s="97" t="s">
        <v>1578</v>
      </c>
      <c r="C836" s="97" t="s">
        <v>1579</v>
      </c>
      <c r="D836" s="75" t="s">
        <v>302</v>
      </c>
    </row>
    <row r="837" spans="1:4" ht="12" customHeight="1">
      <c r="A837" s="114" t="s">
        <v>159</v>
      </c>
      <c r="B837" s="97" t="s">
        <v>1580</v>
      </c>
      <c r="C837" s="97" t="s">
        <v>1581</v>
      </c>
      <c r="D837" s="75" t="s">
        <v>302</v>
      </c>
    </row>
    <row r="838" spans="1:4" ht="24.75">
      <c r="A838" s="114" t="s">
        <v>159</v>
      </c>
      <c r="B838" s="206" t="s">
        <v>1582</v>
      </c>
      <c r="C838" s="97" t="s">
        <v>1583</v>
      </c>
      <c r="D838" s="75" t="s">
        <v>302</v>
      </c>
    </row>
    <row r="839" spans="1:4" ht="24.75">
      <c r="A839" s="114" t="s">
        <v>159</v>
      </c>
      <c r="B839" s="206" t="s">
        <v>1584</v>
      </c>
      <c r="C839" s="97" t="s">
        <v>1585</v>
      </c>
      <c r="D839" s="75" t="s">
        <v>302</v>
      </c>
    </row>
    <row r="840" spans="1:4" ht="12" customHeight="1">
      <c r="A840" s="114" t="s">
        <v>159</v>
      </c>
      <c r="B840" s="206" t="s">
        <v>1586</v>
      </c>
      <c r="C840" s="186" t="s">
        <v>1587</v>
      </c>
      <c r="D840" s="75" t="s">
        <v>302</v>
      </c>
    </row>
    <row r="841" spans="1:4" ht="12" customHeight="1">
      <c r="A841" s="114" t="s">
        <v>159</v>
      </c>
      <c r="B841" s="206" t="s">
        <v>1588</v>
      </c>
      <c r="C841" s="97" t="s">
        <v>1589</v>
      </c>
      <c r="D841" s="75" t="s">
        <v>302</v>
      </c>
    </row>
    <row r="842" spans="1:4" ht="12" customHeight="1">
      <c r="A842" s="114" t="s">
        <v>159</v>
      </c>
      <c r="B842" s="206" t="s">
        <v>1590</v>
      </c>
      <c r="C842" s="97" t="s">
        <v>1591</v>
      </c>
      <c r="D842" s="75" t="s">
        <v>302</v>
      </c>
    </row>
    <row r="843" spans="1:4" ht="12" customHeight="1">
      <c r="A843" s="114" t="s">
        <v>159</v>
      </c>
      <c r="B843" s="206"/>
      <c r="C843" s="97"/>
      <c r="D843" s="75" t="s">
        <v>302</v>
      </c>
    </row>
    <row r="844" spans="1:4" ht="12" customHeight="1">
      <c r="A844" s="114" t="s">
        <v>159</v>
      </c>
      <c r="B844" s="150"/>
      <c r="C844" s="126"/>
      <c r="D844" s="75" t="s">
        <v>302</v>
      </c>
    </row>
    <row r="845" spans="1:4" ht="12" customHeight="1">
      <c r="A845" s="257" t="s">
        <v>161</v>
      </c>
      <c r="B845" s="119"/>
      <c r="C845" s="121" t="s">
        <v>1592</v>
      </c>
      <c r="D845" s="75" t="s">
        <v>302</v>
      </c>
    </row>
    <row r="846" spans="1:4" ht="12" customHeight="1">
      <c r="A846" s="257" t="s">
        <v>161</v>
      </c>
      <c r="B846" s="119" t="s">
        <v>1593</v>
      </c>
      <c r="C846" s="126" t="s">
        <v>1592</v>
      </c>
      <c r="D846" s="75" t="s">
        <v>302</v>
      </c>
    </row>
    <row r="847" spans="1:4" ht="12" customHeight="1">
      <c r="A847" s="257" t="s">
        <v>161</v>
      </c>
      <c r="B847" s="119"/>
      <c r="C847" s="126"/>
      <c r="D847" s="75"/>
    </row>
    <row r="848" spans="1:4" ht="12" customHeight="1">
      <c r="A848" s="257" t="s">
        <v>161</v>
      </c>
      <c r="B848" s="119"/>
      <c r="C848" s="126"/>
      <c r="D848" s="75"/>
    </row>
    <row r="849" spans="1:4" ht="12" customHeight="1">
      <c r="A849" s="257" t="s">
        <v>161</v>
      </c>
      <c r="B849" s="119"/>
      <c r="C849" s="126"/>
      <c r="D849" s="75"/>
    </row>
    <row r="850" spans="1:4" ht="12" customHeight="1">
      <c r="A850" s="114" t="s">
        <v>163</v>
      </c>
      <c r="B850" s="174"/>
      <c r="C850" s="258" t="s">
        <v>1594</v>
      </c>
      <c r="D850" s="75"/>
    </row>
    <row r="851" spans="1:4" ht="12" customHeight="1">
      <c r="A851" s="114" t="s">
        <v>163</v>
      </c>
      <c r="B851" s="97" t="s">
        <v>1595</v>
      </c>
      <c r="C851" s="97" t="s">
        <v>1596</v>
      </c>
      <c r="D851" s="75" t="s">
        <v>302</v>
      </c>
    </row>
    <row r="852" spans="1:4" ht="24.75">
      <c r="A852" s="114" t="s">
        <v>163</v>
      </c>
      <c r="B852" s="97" t="s">
        <v>1597</v>
      </c>
      <c r="C852" s="97" t="s">
        <v>1598</v>
      </c>
      <c r="D852" s="75" t="s">
        <v>302</v>
      </c>
    </row>
    <row r="853" spans="1:4" ht="12" customHeight="1">
      <c r="A853" s="114" t="s">
        <v>163</v>
      </c>
      <c r="B853" s="97" t="s">
        <v>1599</v>
      </c>
      <c r="C853" s="97" t="s">
        <v>1600</v>
      </c>
      <c r="D853" s="75" t="s">
        <v>302</v>
      </c>
    </row>
    <row r="854" spans="1:4" ht="12" customHeight="1">
      <c r="A854" s="114" t="s">
        <v>163</v>
      </c>
      <c r="B854" s="97" t="s">
        <v>1601</v>
      </c>
      <c r="C854" s="97" t="s">
        <v>1602</v>
      </c>
      <c r="D854" s="75" t="s">
        <v>302</v>
      </c>
    </row>
    <row r="855" spans="1:4" ht="24.75">
      <c r="A855" s="114" t="s">
        <v>163</v>
      </c>
      <c r="B855" s="97" t="s">
        <v>1603</v>
      </c>
      <c r="C855" s="97" t="s">
        <v>1604</v>
      </c>
      <c r="D855" s="75" t="s">
        <v>302</v>
      </c>
    </row>
    <row r="856" spans="1:4" ht="12" customHeight="1">
      <c r="A856" s="114" t="s">
        <v>163</v>
      </c>
      <c r="B856" s="97" t="s">
        <v>1605</v>
      </c>
      <c r="C856" s="97" t="s">
        <v>1606</v>
      </c>
      <c r="D856" s="75" t="s">
        <v>302</v>
      </c>
    </row>
    <row r="857" spans="1:4" ht="12" customHeight="1">
      <c r="A857" s="114" t="s">
        <v>163</v>
      </c>
      <c r="B857" s="97" t="s">
        <v>1607</v>
      </c>
      <c r="C857" s="97" t="s">
        <v>1608</v>
      </c>
      <c r="D857" s="75" t="s">
        <v>302</v>
      </c>
    </row>
    <row r="858" spans="1:4" ht="12" customHeight="1">
      <c r="A858" s="114" t="s">
        <v>163</v>
      </c>
      <c r="B858" s="97" t="s">
        <v>1609</v>
      </c>
      <c r="C858" s="97" t="s">
        <v>1610</v>
      </c>
      <c r="D858" s="75" t="s">
        <v>302</v>
      </c>
    </row>
    <row r="859" spans="1:4" ht="12" customHeight="1">
      <c r="A859" s="114" t="s">
        <v>163</v>
      </c>
      <c r="B859" s="97" t="s">
        <v>1611</v>
      </c>
      <c r="C859" s="97" t="s">
        <v>1612</v>
      </c>
      <c r="D859" s="75" t="s">
        <v>302</v>
      </c>
    </row>
    <row r="860" spans="1:4" ht="12" customHeight="1">
      <c r="A860" s="114" t="s">
        <v>163</v>
      </c>
      <c r="B860" s="97" t="s">
        <v>1613</v>
      </c>
      <c r="C860" s="97" t="s">
        <v>1614</v>
      </c>
      <c r="D860" s="75" t="s">
        <v>302</v>
      </c>
    </row>
    <row r="861" spans="1:4" ht="12" customHeight="1">
      <c r="A861" s="114" t="s">
        <v>163</v>
      </c>
      <c r="B861" s="97" t="s">
        <v>1615</v>
      </c>
      <c r="C861" s="97" t="s">
        <v>1616</v>
      </c>
      <c r="D861" s="75" t="s">
        <v>302</v>
      </c>
    </row>
    <row r="862" spans="1:4" ht="12" customHeight="1">
      <c r="A862" s="114" t="s">
        <v>163</v>
      </c>
      <c r="B862" s="97" t="s">
        <v>1617</v>
      </c>
      <c r="C862" s="97" t="s">
        <v>1618</v>
      </c>
      <c r="D862" s="75" t="s">
        <v>302</v>
      </c>
    </row>
    <row r="863" spans="1:4" ht="12" customHeight="1">
      <c r="A863" s="114"/>
      <c r="B863" s="246"/>
      <c r="C863" s="247"/>
      <c r="D863" s="75"/>
    </row>
    <row r="864" spans="1:4" ht="12" customHeight="1">
      <c r="A864" s="114"/>
      <c r="B864" s="246"/>
      <c r="C864" s="247"/>
      <c r="D864" s="75"/>
    </row>
    <row r="865" spans="1:4" ht="12" customHeight="1">
      <c r="A865" s="114"/>
      <c r="B865" s="246"/>
      <c r="C865" s="247"/>
      <c r="D865" s="75"/>
    </row>
    <row r="866" spans="1:4" ht="12" customHeight="1">
      <c r="A866" s="114" t="s">
        <v>165</v>
      </c>
      <c r="B866" s="149"/>
      <c r="C866" s="252" t="s">
        <v>1619</v>
      </c>
      <c r="D866" s="75"/>
    </row>
    <row r="867" spans="1:4" ht="12" customHeight="1">
      <c r="A867" s="114" t="s">
        <v>165</v>
      </c>
      <c r="B867" s="97" t="s">
        <v>1620</v>
      </c>
      <c r="C867" s="97" t="s">
        <v>1621</v>
      </c>
      <c r="D867" s="75" t="s">
        <v>302</v>
      </c>
    </row>
    <row r="868" spans="1:4" ht="12" customHeight="1">
      <c r="A868" s="114" t="s">
        <v>165</v>
      </c>
      <c r="B868" s="97" t="s">
        <v>1622</v>
      </c>
      <c r="C868" s="97" t="s">
        <v>1623</v>
      </c>
      <c r="D868" s="75" t="s">
        <v>302</v>
      </c>
    </row>
    <row r="869" spans="1:4" ht="12" customHeight="1">
      <c r="A869" s="114" t="s">
        <v>165</v>
      </c>
      <c r="B869" s="97" t="s">
        <v>1624</v>
      </c>
      <c r="C869" s="97" t="s">
        <v>1625</v>
      </c>
      <c r="D869" s="75" t="s">
        <v>302</v>
      </c>
    </row>
    <row r="870" spans="1:4" ht="12" customHeight="1">
      <c r="A870" s="114"/>
      <c r="B870" s="246"/>
      <c r="C870" s="247"/>
      <c r="D870" s="75"/>
    </row>
    <row r="871" spans="1:4" ht="12" customHeight="1">
      <c r="A871" s="114"/>
      <c r="B871" s="246"/>
      <c r="C871" s="247"/>
      <c r="D871" s="75"/>
    </row>
    <row r="872" spans="1:4" ht="12" customHeight="1">
      <c r="A872" s="114"/>
      <c r="B872" s="246"/>
      <c r="C872" s="247"/>
      <c r="D872" s="75"/>
    </row>
    <row r="873" spans="1:4" ht="12" customHeight="1">
      <c r="A873" s="114"/>
      <c r="B873" s="182"/>
      <c r="C873" s="183"/>
      <c r="D873" s="75"/>
    </row>
    <row r="874" spans="1:4" ht="12" customHeight="1">
      <c r="A874" s="114" t="s">
        <v>167</v>
      </c>
      <c r="B874" s="119"/>
      <c r="C874" s="121" t="s">
        <v>1626</v>
      </c>
      <c r="D874" s="75"/>
    </row>
    <row r="875" spans="1:4" ht="12" customHeight="1">
      <c r="A875" s="114" t="s">
        <v>167</v>
      </c>
      <c r="B875" s="119" t="s">
        <v>1627</v>
      </c>
      <c r="C875" s="126" t="s">
        <v>1628</v>
      </c>
      <c r="D875" s="75" t="s">
        <v>714</v>
      </c>
    </row>
    <row r="876" spans="1:4" ht="12" customHeight="1">
      <c r="A876" s="114" t="s">
        <v>167</v>
      </c>
      <c r="B876" s="97" t="s">
        <v>1629</v>
      </c>
      <c r="C876" s="97" t="s">
        <v>1630</v>
      </c>
      <c r="D876" s="82" t="s">
        <v>714</v>
      </c>
    </row>
    <row r="877" spans="1:4" ht="12" customHeight="1">
      <c r="A877" s="114"/>
      <c r="B877" s="119"/>
      <c r="C877" s="243"/>
      <c r="D877" s="82"/>
    </row>
    <row r="878" spans="1:4" ht="12" customHeight="1">
      <c r="A878" s="220"/>
      <c r="B878" s="182"/>
      <c r="C878" s="183"/>
    </row>
    <row r="879" spans="1:4" ht="12" customHeight="1">
      <c r="A879" s="114" t="s">
        <v>169</v>
      </c>
      <c r="B879" s="119"/>
      <c r="C879" s="121" t="s">
        <v>1631</v>
      </c>
      <c r="D879" s="82"/>
    </row>
    <row r="880" spans="1:4" ht="12" customHeight="1">
      <c r="A880" s="114" t="s">
        <v>169</v>
      </c>
      <c r="B880" s="125" t="s">
        <v>1632</v>
      </c>
      <c r="C880" s="259" t="s">
        <v>1633</v>
      </c>
      <c r="D880" s="75" t="s">
        <v>302</v>
      </c>
    </row>
    <row r="881" spans="1:4" ht="12" customHeight="1">
      <c r="A881" s="114" t="s">
        <v>169</v>
      </c>
      <c r="B881" s="125" t="s">
        <v>1634</v>
      </c>
      <c r="C881" s="97" t="s">
        <v>1635</v>
      </c>
      <c r="D881" s="75" t="s">
        <v>302</v>
      </c>
    </row>
    <row r="882" spans="1:4" ht="12" customHeight="1">
      <c r="A882" s="114" t="s">
        <v>169</v>
      </c>
      <c r="B882" s="125" t="s">
        <v>1636</v>
      </c>
      <c r="C882" s="186" t="s">
        <v>1637</v>
      </c>
      <c r="D882" s="75" t="s">
        <v>302</v>
      </c>
    </row>
    <row r="883" spans="1:4" ht="12" customHeight="1">
      <c r="A883" s="114"/>
      <c r="B883" s="125" t="s">
        <v>1638</v>
      </c>
      <c r="C883" s="97" t="s">
        <v>1639</v>
      </c>
      <c r="D883" s="75" t="s">
        <v>302</v>
      </c>
    </row>
    <row r="884" spans="1:4" ht="12" customHeight="1">
      <c r="A884" s="114" t="s">
        <v>169</v>
      </c>
      <c r="B884" s="125" t="s">
        <v>1640</v>
      </c>
      <c r="C884" s="126" t="s">
        <v>1641</v>
      </c>
      <c r="D884" s="84" t="s">
        <v>302</v>
      </c>
    </row>
    <row r="885" spans="1:4" ht="12" customHeight="1">
      <c r="A885" s="114" t="s">
        <v>169</v>
      </c>
      <c r="B885" s="125" t="s">
        <v>1642</v>
      </c>
      <c r="C885" s="126" t="s">
        <v>1643</v>
      </c>
      <c r="D885" s="75" t="s">
        <v>302</v>
      </c>
    </row>
    <row r="886" spans="1:4" ht="12" customHeight="1">
      <c r="A886" s="114" t="s">
        <v>171</v>
      </c>
      <c r="B886" s="125" t="s">
        <v>171</v>
      </c>
      <c r="C886" s="163" t="s">
        <v>1644</v>
      </c>
      <c r="D886" s="75" t="s">
        <v>974</v>
      </c>
    </row>
    <row r="887" spans="1:4" ht="12" customHeight="1">
      <c r="A887" s="114"/>
      <c r="B887" s="125"/>
      <c r="C887" s="126"/>
      <c r="D887" s="75"/>
    </row>
    <row r="888" spans="1:4" ht="12" customHeight="1">
      <c r="A888" s="114"/>
      <c r="B888" s="125"/>
      <c r="C888" s="126"/>
      <c r="D888" s="75"/>
    </row>
    <row r="889" spans="1:4" ht="12" customHeight="1">
      <c r="A889" s="114" t="s">
        <v>173</v>
      </c>
      <c r="B889" s="125" t="s">
        <v>173</v>
      </c>
      <c r="C889" s="97" t="s">
        <v>1645</v>
      </c>
      <c r="D889" s="75" t="s">
        <v>974</v>
      </c>
    </row>
    <row r="890" spans="1:4" ht="12" customHeight="1">
      <c r="A890" s="114"/>
      <c r="B890" s="125"/>
      <c r="C890" s="260"/>
      <c r="D890" s="75"/>
    </row>
    <row r="891" spans="1:4" ht="12" customHeight="1">
      <c r="A891" s="114"/>
      <c r="B891" s="119"/>
      <c r="C891" s="126"/>
      <c r="D891" s="75"/>
    </row>
    <row r="892" spans="1:4" ht="24.75">
      <c r="A892" s="114" t="s">
        <v>177</v>
      </c>
      <c r="B892" s="174"/>
      <c r="C892" s="121" t="s">
        <v>1646</v>
      </c>
      <c r="D892" s="75"/>
    </row>
    <row r="893" spans="1:4" ht="24.75">
      <c r="A893" s="114" t="s">
        <v>177</v>
      </c>
      <c r="B893" s="125" t="s">
        <v>1647</v>
      </c>
      <c r="C893" s="126" t="s">
        <v>1646</v>
      </c>
      <c r="D893" s="84" t="s">
        <v>714</v>
      </c>
    </row>
    <row r="894" spans="1:4" ht="12" customHeight="1">
      <c r="A894" s="114"/>
      <c r="B894" s="119"/>
      <c r="C894" s="243"/>
      <c r="D894" s="75"/>
    </row>
    <row r="895" spans="1:4" ht="12" customHeight="1">
      <c r="A895" s="114"/>
      <c r="B895" s="119"/>
      <c r="C895" s="243"/>
      <c r="D895" s="75"/>
    </row>
    <row r="896" spans="1:4" ht="12" customHeight="1">
      <c r="A896" s="114"/>
      <c r="B896" s="119"/>
      <c r="C896" s="243"/>
      <c r="D896" s="75"/>
    </row>
    <row r="897" spans="1:4" ht="12" customHeight="1">
      <c r="A897" s="114"/>
      <c r="B897" s="125"/>
      <c r="C897" s="126"/>
      <c r="D897" s="75"/>
    </row>
    <row r="898" spans="1:4" ht="36.75">
      <c r="A898" s="114" t="s">
        <v>179</v>
      </c>
      <c r="B898" s="114"/>
      <c r="C898" s="213" t="s">
        <v>2083</v>
      </c>
      <c r="D898" s="79"/>
    </row>
    <row r="899" spans="1:4" ht="12" customHeight="1">
      <c r="A899" s="114" t="s">
        <v>179</v>
      </c>
      <c r="B899" s="125" t="s">
        <v>1648</v>
      </c>
      <c r="C899" s="126" t="s">
        <v>1649</v>
      </c>
      <c r="D899" s="75" t="s">
        <v>714</v>
      </c>
    </row>
    <row r="900" spans="1:4" ht="24.75">
      <c r="A900" s="114" t="s">
        <v>179</v>
      </c>
      <c r="B900" s="97" t="s">
        <v>1650</v>
      </c>
      <c r="C900" s="97" t="s">
        <v>2084</v>
      </c>
      <c r="D900" s="84" t="s">
        <v>714</v>
      </c>
    </row>
    <row r="901" spans="1:4" ht="12" customHeight="1">
      <c r="A901" s="114"/>
      <c r="B901" s="217"/>
      <c r="C901" s="238"/>
      <c r="D901" s="79"/>
    </row>
    <row r="902" spans="1:4" ht="12" customHeight="1">
      <c r="A902" s="114"/>
      <c r="B902" s="125"/>
      <c r="C902" s="126"/>
      <c r="D902" s="75"/>
    </row>
    <row r="903" spans="1:4" ht="12" customHeight="1">
      <c r="A903" s="114" t="s">
        <v>183</v>
      </c>
      <c r="B903" s="114"/>
      <c r="C903" s="121" t="s">
        <v>1651</v>
      </c>
      <c r="D903" s="75"/>
    </row>
    <row r="904" spans="1:4" ht="12" customHeight="1">
      <c r="A904" s="114" t="s">
        <v>183</v>
      </c>
      <c r="B904" s="97" t="s">
        <v>1652</v>
      </c>
      <c r="C904" s="97" t="s">
        <v>1653</v>
      </c>
      <c r="D904" s="82" t="s">
        <v>302</v>
      </c>
    </row>
    <row r="905" spans="1:4" ht="12" customHeight="1">
      <c r="A905" s="114" t="s">
        <v>183</v>
      </c>
      <c r="B905" s="97" t="s">
        <v>1654</v>
      </c>
      <c r="C905" s="97" t="s">
        <v>1655</v>
      </c>
      <c r="D905" s="82" t="s">
        <v>974</v>
      </c>
    </row>
    <row r="906" spans="1:4" ht="24.75">
      <c r="A906" s="114" t="s">
        <v>183</v>
      </c>
      <c r="B906" s="97" t="s">
        <v>1656</v>
      </c>
      <c r="C906" s="97" t="s">
        <v>2085</v>
      </c>
      <c r="D906" s="261" t="s">
        <v>302</v>
      </c>
    </row>
    <row r="907" spans="1:4" ht="27" customHeight="1">
      <c r="A907" s="114" t="s">
        <v>183</v>
      </c>
      <c r="B907" s="97" t="s">
        <v>1657</v>
      </c>
      <c r="C907" s="97" t="s">
        <v>1658</v>
      </c>
      <c r="D907" s="261" t="s">
        <v>302</v>
      </c>
    </row>
    <row r="908" spans="1:4" ht="12" customHeight="1">
      <c r="A908" s="114" t="s">
        <v>183</v>
      </c>
      <c r="B908" s="97" t="s">
        <v>1659</v>
      </c>
      <c r="C908" s="97" t="s">
        <v>2152</v>
      </c>
      <c r="D908" s="261" t="s">
        <v>302</v>
      </c>
    </row>
    <row r="909" spans="1:4" ht="12" customHeight="1">
      <c r="A909" s="114" t="s">
        <v>183</v>
      </c>
      <c r="B909" s="119" t="s">
        <v>1660</v>
      </c>
      <c r="C909" s="126" t="s">
        <v>1661</v>
      </c>
      <c r="D909" s="261" t="s">
        <v>302</v>
      </c>
    </row>
    <row r="910" spans="1:4" ht="12" customHeight="1">
      <c r="A910" s="114" t="s">
        <v>183</v>
      </c>
      <c r="B910" s="119" t="s">
        <v>1662</v>
      </c>
      <c r="C910" s="126" t="s">
        <v>1663</v>
      </c>
      <c r="D910" s="261" t="s">
        <v>302</v>
      </c>
    </row>
    <row r="911" spans="1:4" ht="12" customHeight="1">
      <c r="A911" s="114"/>
      <c r="B911" s="97" t="s">
        <v>1664</v>
      </c>
      <c r="C911" s="97" t="s">
        <v>1665</v>
      </c>
      <c r="D911" s="261" t="s">
        <v>302</v>
      </c>
    </row>
    <row r="912" spans="1:4" ht="12" customHeight="1">
      <c r="A912" s="114" t="s">
        <v>183</v>
      </c>
      <c r="B912" s="97" t="s">
        <v>1666</v>
      </c>
      <c r="C912" s="97" t="s">
        <v>1667</v>
      </c>
      <c r="D912" s="261"/>
    </row>
    <row r="913" spans="1:4" ht="24.75">
      <c r="A913" s="114" t="s">
        <v>183</v>
      </c>
      <c r="B913" s="97" t="s">
        <v>1668</v>
      </c>
      <c r="C913" s="97" t="s">
        <v>1669</v>
      </c>
      <c r="D913" s="261" t="s">
        <v>302</v>
      </c>
    </row>
    <row r="914" spans="1:4" ht="12" customHeight="1">
      <c r="A914" s="114" t="s">
        <v>183</v>
      </c>
      <c r="B914" s="97" t="s">
        <v>1670</v>
      </c>
      <c r="C914" s="97" t="s">
        <v>1671</v>
      </c>
      <c r="D914" s="82" t="s">
        <v>302</v>
      </c>
    </row>
    <row r="915" spans="1:4" ht="12" customHeight="1">
      <c r="A915" s="114" t="s">
        <v>183</v>
      </c>
      <c r="B915" s="97" t="s">
        <v>1672</v>
      </c>
      <c r="C915" s="97" t="s">
        <v>1673</v>
      </c>
      <c r="D915" s="82" t="s">
        <v>302</v>
      </c>
    </row>
    <row r="916" spans="1:4" ht="24.75">
      <c r="A916" s="114" t="s">
        <v>183</v>
      </c>
      <c r="B916" s="97" t="s">
        <v>1674</v>
      </c>
      <c r="C916" s="97" t="s">
        <v>1675</v>
      </c>
      <c r="D916" s="82" t="s">
        <v>302</v>
      </c>
    </row>
    <row r="917" spans="1:4" ht="12" customHeight="1">
      <c r="A917" s="114" t="s">
        <v>183</v>
      </c>
      <c r="B917" s="119" t="s">
        <v>1676</v>
      </c>
      <c r="C917" s="126" t="s">
        <v>1677</v>
      </c>
      <c r="D917" s="82" t="s">
        <v>302</v>
      </c>
    </row>
    <row r="918" spans="1:4" ht="12" customHeight="1">
      <c r="A918" s="114" t="s">
        <v>183</v>
      </c>
      <c r="B918" s="97" t="s">
        <v>2086</v>
      </c>
      <c r="C918" s="97" t="s">
        <v>2087</v>
      </c>
      <c r="D918" s="82" t="s">
        <v>714</v>
      </c>
    </row>
    <row r="919" spans="1:4">
      <c r="A919" s="114" t="s">
        <v>183</v>
      </c>
      <c r="B919" s="83" t="s">
        <v>2162</v>
      </c>
      <c r="C919" s="83" t="s">
        <v>2163</v>
      </c>
      <c r="D919" s="82" t="s">
        <v>302</v>
      </c>
    </row>
    <row r="920" spans="1:4" ht="12" customHeight="1">
      <c r="A920" s="114" t="s">
        <v>183</v>
      </c>
      <c r="B920" s="93" t="s">
        <v>2088</v>
      </c>
      <c r="C920" s="83" t="s">
        <v>2089</v>
      </c>
      <c r="D920" s="82" t="s">
        <v>714</v>
      </c>
    </row>
    <row r="921" spans="1:4" ht="12" customHeight="1">
      <c r="A921" s="114"/>
      <c r="B921" s="119"/>
      <c r="C921" s="126"/>
      <c r="D921" s="82"/>
    </row>
    <row r="922" spans="1:4" ht="12" customHeight="1">
      <c r="A922" s="114"/>
      <c r="B922" s="119"/>
      <c r="C922" s="126"/>
      <c r="D922" s="75"/>
    </row>
    <row r="923" spans="1:4" ht="12" customHeight="1">
      <c r="A923" s="262" t="s">
        <v>1678</v>
      </c>
      <c r="B923" s="182"/>
      <c r="C923" s="250" t="s">
        <v>1679</v>
      </c>
      <c r="D923" s="75"/>
    </row>
    <row r="924" spans="1:4" ht="12" customHeight="1">
      <c r="A924" s="262"/>
      <c r="B924" s="182"/>
      <c r="C924" s="263"/>
      <c r="D924" s="75"/>
    </row>
    <row r="925" spans="1:4" ht="12" customHeight="1">
      <c r="A925" s="262"/>
      <c r="B925" s="182"/>
      <c r="C925" s="263"/>
      <c r="D925" s="75"/>
    </row>
    <row r="926" spans="1:4" ht="12" customHeight="1">
      <c r="A926" s="262"/>
      <c r="B926" s="182"/>
      <c r="C926" s="263"/>
      <c r="D926" s="75"/>
    </row>
    <row r="927" spans="1:4" ht="12" customHeight="1">
      <c r="A927" s="262" t="s">
        <v>1680</v>
      </c>
      <c r="B927" s="182"/>
      <c r="C927" s="109" t="s">
        <v>1681</v>
      </c>
      <c r="D927" s="75"/>
    </row>
    <row r="928" spans="1:4" ht="12" customHeight="1">
      <c r="A928" s="262"/>
      <c r="B928" s="186" t="s">
        <v>2213</v>
      </c>
      <c r="C928" s="70" t="s">
        <v>2214</v>
      </c>
      <c r="D928" s="75" t="s">
        <v>2215</v>
      </c>
    </row>
    <row r="929" spans="1:4" ht="12" customHeight="1">
      <c r="A929" s="262"/>
      <c r="B929" s="182"/>
      <c r="C929" s="263"/>
      <c r="D929" s="75"/>
    </row>
    <row r="930" spans="1:4" ht="12" customHeight="1">
      <c r="A930" s="262" t="s">
        <v>1682</v>
      </c>
      <c r="B930" s="182"/>
      <c r="C930" s="109" t="s">
        <v>1683</v>
      </c>
      <c r="D930" s="75"/>
    </row>
    <row r="931" spans="1:4" ht="12" customHeight="1">
      <c r="A931" s="262"/>
      <c r="B931" s="182"/>
      <c r="C931" s="263"/>
      <c r="D931" s="75"/>
    </row>
    <row r="932" spans="1:4" ht="12" customHeight="1">
      <c r="A932" s="262"/>
      <c r="B932" s="182"/>
      <c r="C932" s="263"/>
      <c r="D932" s="75"/>
    </row>
    <row r="933" spans="1:4" ht="12" customHeight="1">
      <c r="A933" s="114"/>
      <c r="B933" s="119"/>
      <c r="C933" s="243"/>
      <c r="D933" s="75"/>
    </row>
    <row r="934" spans="1:4" ht="12" customHeight="1">
      <c r="A934" s="262" t="s">
        <v>1684</v>
      </c>
      <c r="B934" s="182"/>
      <c r="C934" s="250" t="s">
        <v>1685</v>
      </c>
      <c r="D934" s="75"/>
    </row>
    <row r="935" spans="1:4" ht="12" customHeight="1">
      <c r="A935" s="262"/>
      <c r="B935" s="182"/>
      <c r="C935" s="263"/>
      <c r="D935" s="75"/>
    </row>
    <row r="936" spans="1:4" ht="12" customHeight="1">
      <c r="A936" s="262"/>
      <c r="B936" s="182"/>
      <c r="C936" s="263"/>
      <c r="D936" s="75"/>
    </row>
    <row r="937" spans="1:4" ht="12" customHeight="1">
      <c r="A937" s="262" t="s">
        <v>1686</v>
      </c>
      <c r="B937" s="182"/>
      <c r="C937" s="250" t="s">
        <v>1687</v>
      </c>
      <c r="D937" s="75"/>
    </row>
    <row r="938" spans="1:4" ht="12" customHeight="1">
      <c r="A938" s="262"/>
      <c r="B938" s="182"/>
      <c r="C938" s="263"/>
      <c r="D938" s="75"/>
    </row>
    <row r="939" spans="1:4" ht="12" customHeight="1">
      <c r="A939" s="114"/>
      <c r="B939" s="119"/>
      <c r="C939" s="243"/>
      <c r="D939" s="75"/>
    </row>
    <row r="940" spans="1:4" ht="12" customHeight="1">
      <c r="A940" s="262"/>
      <c r="B940" s="182"/>
      <c r="C940" s="250"/>
      <c r="D940" s="75"/>
    </row>
    <row r="941" spans="1:4" ht="12" customHeight="1">
      <c r="A941" s="114"/>
      <c r="B941" s="119"/>
      <c r="C941" s="126"/>
      <c r="D941" s="75"/>
    </row>
    <row r="942" spans="1:4" ht="12" customHeight="1">
      <c r="A942" s="114" t="s">
        <v>187</v>
      </c>
      <c r="B942" s="174"/>
      <c r="C942" s="121" t="s">
        <v>1688</v>
      </c>
      <c r="D942" s="75"/>
    </row>
    <row r="943" spans="1:4" ht="12" customHeight="1">
      <c r="A943" s="114" t="s">
        <v>187</v>
      </c>
      <c r="B943" s="125" t="s">
        <v>1689</v>
      </c>
      <c r="C943" s="97" t="s">
        <v>2090</v>
      </c>
      <c r="D943" s="84" t="s">
        <v>974</v>
      </c>
    </row>
    <row r="944" spans="1:4" ht="12" customHeight="1">
      <c r="A944" s="114" t="s">
        <v>187</v>
      </c>
      <c r="B944" s="125" t="s">
        <v>2091</v>
      </c>
      <c r="C944" s="97" t="s">
        <v>2092</v>
      </c>
      <c r="D944" s="84" t="s">
        <v>974</v>
      </c>
    </row>
    <row r="945" spans="1:4" ht="12" customHeight="1">
      <c r="A945" s="114" t="s">
        <v>187</v>
      </c>
      <c r="B945" s="97" t="s">
        <v>2093</v>
      </c>
      <c r="C945" s="97" t="s">
        <v>2094</v>
      </c>
      <c r="D945" s="84" t="s">
        <v>974</v>
      </c>
    </row>
    <row r="946" spans="1:4" ht="12" customHeight="1">
      <c r="A946" s="114" t="s">
        <v>187</v>
      </c>
      <c r="B946" s="206" t="s">
        <v>1690</v>
      </c>
      <c r="C946" s="126" t="s">
        <v>2095</v>
      </c>
      <c r="D946" s="84" t="s">
        <v>974</v>
      </c>
    </row>
    <row r="947" spans="1:4" ht="12" customHeight="1">
      <c r="A947" s="114" t="s">
        <v>187</v>
      </c>
      <c r="B947" s="206" t="s">
        <v>1691</v>
      </c>
      <c r="C947" s="126" t="s">
        <v>2164</v>
      </c>
      <c r="D947" s="84" t="s">
        <v>974</v>
      </c>
    </row>
    <row r="948" spans="1:4" ht="12" customHeight="1">
      <c r="A948" s="114" t="s">
        <v>187</v>
      </c>
      <c r="B948" s="206" t="s">
        <v>2096</v>
      </c>
      <c r="C948" s="126" t="s">
        <v>2165</v>
      </c>
      <c r="D948" s="84" t="s">
        <v>974</v>
      </c>
    </row>
    <row r="949" spans="1:4" ht="12" customHeight="1">
      <c r="A949" s="114" t="s">
        <v>187</v>
      </c>
      <c r="B949" s="206" t="s">
        <v>2097</v>
      </c>
      <c r="C949" s="126" t="s">
        <v>2098</v>
      </c>
      <c r="D949" s="84" t="s">
        <v>974</v>
      </c>
    </row>
    <row r="950" spans="1:4" ht="12" customHeight="1">
      <c r="A950" s="114" t="s">
        <v>187</v>
      </c>
      <c r="B950" s="206" t="s">
        <v>2099</v>
      </c>
      <c r="C950" s="126" t="s">
        <v>2100</v>
      </c>
      <c r="D950" s="84" t="s">
        <v>974</v>
      </c>
    </row>
    <row r="951" spans="1:4" ht="12" customHeight="1">
      <c r="A951" s="114" t="s">
        <v>187</v>
      </c>
      <c r="B951" s="206" t="s">
        <v>2101</v>
      </c>
      <c r="C951" s="126" t="s">
        <v>2102</v>
      </c>
      <c r="D951" s="84" t="s">
        <v>974</v>
      </c>
    </row>
    <row r="952" spans="1:4" ht="12" customHeight="1">
      <c r="A952" s="114" t="s">
        <v>187</v>
      </c>
      <c r="B952" s="206" t="s">
        <v>2103</v>
      </c>
      <c r="C952" s="126" t="s">
        <v>2104</v>
      </c>
      <c r="D952" s="84" t="s">
        <v>974</v>
      </c>
    </row>
    <row r="953" spans="1:4" ht="12" customHeight="1">
      <c r="A953" s="114" t="s">
        <v>187</v>
      </c>
      <c r="B953" s="206" t="s">
        <v>1692</v>
      </c>
      <c r="C953" s="126" t="s">
        <v>2105</v>
      </c>
      <c r="D953" s="84" t="s">
        <v>974</v>
      </c>
    </row>
    <row r="954" spans="1:4" ht="12" customHeight="1">
      <c r="A954" s="114" t="s">
        <v>187</v>
      </c>
      <c r="B954" s="206" t="s">
        <v>2106</v>
      </c>
      <c r="C954" s="126" t="s">
        <v>2107</v>
      </c>
      <c r="D954" s="84" t="s">
        <v>974</v>
      </c>
    </row>
    <row r="955" spans="1:4" ht="12" customHeight="1">
      <c r="A955" s="114" t="s">
        <v>187</v>
      </c>
      <c r="B955" s="206" t="s">
        <v>2108</v>
      </c>
      <c r="C955" s="126" t="s">
        <v>2109</v>
      </c>
      <c r="D955" s="84" t="s">
        <v>974</v>
      </c>
    </row>
    <row r="956" spans="1:4" ht="12" customHeight="1">
      <c r="A956" s="114" t="s">
        <v>187</v>
      </c>
      <c r="B956" s="206" t="s">
        <v>2110</v>
      </c>
      <c r="C956" s="126" t="s">
        <v>2111</v>
      </c>
      <c r="D956" s="84" t="s">
        <v>974</v>
      </c>
    </row>
    <row r="957" spans="1:4" ht="12" customHeight="1">
      <c r="A957" s="114" t="s">
        <v>187</v>
      </c>
      <c r="B957" s="206" t="s">
        <v>2112</v>
      </c>
      <c r="C957" s="126" t="s">
        <v>2113</v>
      </c>
      <c r="D957" s="84" t="s">
        <v>974</v>
      </c>
    </row>
    <row r="958" spans="1:4" ht="12" customHeight="1">
      <c r="A958" s="114" t="s">
        <v>187</v>
      </c>
      <c r="B958" s="206" t="s">
        <v>1693</v>
      </c>
      <c r="C958" s="186" t="s">
        <v>1694</v>
      </c>
      <c r="D958" s="84" t="s">
        <v>974</v>
      </c>
    </row>
    <row r="959" spans="1:4" ht="24.75">
      <c r="A959" s="114" t="s">
        <v>187</v>
      </c>
      <c r="B959" s="206" t="s">
        <v>1695</v>
      </c>
      <c r="C959" s="97" t="s">
        <v>1696</v>
      </c>
      <c r="D959" s="84" t="s">
        <v>974</v>
      </c>
    </row>
    <row r="960" spans="1:4" ht="12" customHeight="1">
      <c r="A960" s="114" t="s">
        <v>187</v>
      </c>
      <c r="B960" s="206" t="s">
        <v>1697</v>
      </c>
      <c r="C960" s="186" t="s">
        <v>1698</v>
      </c>
      <c r="D960" s="84" t="s">
        <v>714</v>
      </c>
    </row>
    <row r="961" spans="1:4" ht="12" customHeight="1">
      <c r="A961" s="114" t="s">
        <v>187</v>
      </c>
      <c r="B961" s="206" t="s">
        <v>1699</v>
      </c>
      <c r="C961" s="186" t="s">
        <v>1700</v>
      </c>
      <c r="D961" s="84" t="s">
        <v>974</v>
      </c>
    </row>
    <row r="962" spans="1:4" ht="12" customHeight="1">
      <c r="A962" s="114" t="s">
        <v>187</v>
      </c>
      <c r="B962" s="206" t="s">
        <v>1701</v>
      </c>
      <c r="C962" s="97" t="s">
        <v>1702</v>
      </c>
      <c r="D962" s="84" t="s">
        <v>974</v>
      </c>
    </row>
    <row r="963" spans="1:4" ht="12" customHeight="1">
      <c r="A963" s="114" t="s">
        <v>187</v>
      </c>
      <c r="B963" s="206" t="s">
        <v>1703</v>
      </c>
      <c r="C963" s="97" t="s">
        <v>1704</v>
      </c>
      <c r="D963" s="84" t="s">
        <v>974</v>
      </c>
    </row>
    <row r="964" spans="1:4" ht="12" customHeight="1">
      <c r="A964" s="114" t="s">
        <v>187</v>
      </c>
      <c r="B964" s="206" t="s">
        <v>1705</v>
      </c>
      <c r="C964" s="97" t="s">
        <v>1706</v>
      </c>
      <c r="D964" s="84" t="s">
        <v>974</v>
      </c>
    </row>
    <row r="965" spans="1:4" ht="12" customHeight="1">
      <c r="A965" s="114" t="s">
        <v>187</v>
      </c>
      <c r="B965" s="206" t="s">
        <v>1707</v>
      </c>
      <c r="C965" s="97" t="s">
        <v>1708</v>
      </c>
      <c r="D965" s="84" t="s">
        <v>974</v>
      </c>
    </row>
    <row r="966" spans="1:4" ht="12" customHeight="1">
      <c r="A966" s="114" t="s">
        <v>187</v>
      </c>
      <c r="B966" s="206"/>
      <c r="C966" s="97"/>
      <c r="D966" s="84"/>
    </row>
    <row r="967" spans="1:4" ht="12" customHeight="1">
      <c r="A967" s="114" t="s">
        <v>187</v>
      </c>
      <c r="B967" s="206"/>
      <c r="C967" s="97"/>
      <c r="D967" s="84"/>
    </row>
    <row r="968" spans="1:4" ht="12" customHeight="1">
      <c r="A968" s="114" t="s">
        <v>187</v>
      </c>
      <c r="B968" s="206"/>
      <c r="C968" s="97"/>
      <c r="D968" s="84"/>
    </row>
    <row r="969" spans="1:4" ht="12" customHeight="1">
      <c r="A969" s="114"/>
      <c r="B969" s="206"/>
      <c r="C969" s="97"/>
      <c r="D969" s="75"/>
    </row>
    <row r="970" spans="1:4" ht="12" customHeight="1">
      <c r="A970" s="114"/>
      <c r="B970" s="206"/>
      <c r="C970" s="97"/>
      <c r="D970" s="75"/>
    </row>
    <row r="971" spans="1:4" ht="12" customHeight="1">
      <c r="A971" s="114"/>
      <c r="B971" s="150"/>
      <c r="C971" s="115"/>
      <c r="D971" s="75"/>
    </row>
    <row r="972" spans="1:4" ht="12" customHeight="1">
      <c r="A972" s="257" t="s">
        <v>191</v>
      </c>
      <c r="B972" s="174"/>
      <c r="C972" s="121" t="s">
        <v>1709</v>
      </c>
      <c r="D972" s="75"/>
    </row>
    <row r="973" spans="1:4" ht="12" customHeight="1">
      <c r="A973" s="257" t="s">
        <v>191</v>
      </c>
      <c r="B973" s="97" t="s">
        <v>1710</v>
      </c>
      <c r="C973" s="97" t="s">
        <v>1711</v>
      </c>
      <c r="D973" s="82" t="s">
        <v>302</v>
      </c>
    </row>
    <row r="974" spans="1:4" ht="12" customHeight="1">
      <c r="A974" s="257" t="s">
        <v>191</v>
      </c>
      <c r="B974" s="150" t="s">
        <v>1712</v>
      </c>
      <c r="C974" s="126" t="s">
        <v>1713</v>
      </c>
      <c r="D974" s="82" t="s">
        <v>302</v>
      </c>
    </row>
    <row r="975" spans="1:4" ht="12" customHeight="1">
      <c r="A975" s="257" t="s">
        <v>191</v>
      </c>
      <c r="B975" s="150" t="s">
        <v>1714</v>
      </c>
      <c r="C975" s="97" t="s">
        <v>1715</v>
      </c>
      <c r="D975" s="82" t="s">
        <v>1716</v>
      </c>
    </row>
    <row r="976" spans="1:4" ht="12" customHeight="1">
      <c r="A976" s="257" t="s">
        <v>191</v>
      </c>
      <c r="B976" s="150" t="s">
        <v>1717</v>
      </c>
      <c r="C976" s="126" t="s">
        <v>1718</v>
      </c>
      <c r="D976" s="82" t="s">
        <v>1716</v>
      </c>
    </row>
    <row r="977" spans="1:4" ht="12" customHeight="1">
      <c r="A977" s="257" t="s">
        <v>191</v>
      </c>
      <c r="B977" s="150" t="s">
        <v>1719</v>
      </c>
      <c r="C977" s="126" t="s">
        <v>1720</v>
      </c>
      <c r="D977" s="82" t="s">
        <v>1716</v>
      </c>
    </row>
    <row r="978" spans="1:4" ht="12" customHeight="1">
      <c r="A978" s="257" t="s">
        <v>191</v>
      </c>
      <c r="B978" s="97" t="s">
        <v>1721</v>
      </c>
      <c r="C978" s="97" t="s">
        <v>1722</v>
      </c>
      <c r="D978" s="82" t="s">
        <v>1716</v>
      </c>
    </row>
    <row r="979" spans="1:4" ht="12" customHeight="1">
      <c r="A979" s="257" t="s">
        <v>191</v>
      </c>
      <c r="B979" s="321" t="s">
        <v>2174</v>
      </c>
      <c r="C979" s="322" t="s">
        <v>2175</v>
      </c>
      <c r="D979" s="323" t="s">
        <v>302</v>
      </c>
    </row>
    <row r="980" spans="1:4" ht="12" customHeight="1">
      <c r="A980" s="257" t="s">
        <v>191</v>
      </c>
      <c r="B980" s="97" t="s">
        <v>1723</v>
      </c>
      <c r="C980" s="97" t="s">
        <v>1724</v>
      </c>
      <c r="D980" s="82" t="s">
        <v>1716</v>
      </c>
    </row>
    <row r="981" spans="1:4" ht="12" customHeight="1">
      <c r="A981" s="257" t="s">
        <v>191</v>
      </c>
      <c r="B981" s="97" t="s">
        <v>1725</v>
      </c>
      <c r="C981" s="97" t="s">
        <v>1726</v>
      </c>
      <c r="D981" s="82" t="s">
        <v>1716</v>
      </c>
    </row>
    <row r="982" spans="1:4" ht="12" customHeight="1">
      <c r="A982" s="257" t="s">
        <v>191</v>
      </c>
      <c r="B982" s="97" t="s">
        <v>1727</v>
      </c>
      <c r="C982" s="97" t="s">
        <v>1728</v>
      </c>
      <c r="D982" s="82" t="s">
        <v>1716</v>
      </c>
    </row>
    <row r="983" spans="1:4" ht="12" customHeight="1">
      <c r="A983" s="257" t="s">
        <v>191</v>
      </c>
      <c r="B983" s="97" t="s">
        <v>1729</v>
      </c>
      <c r="C983" s="97" t="s">
        <v>1730</v>
      </c>
      <c r="D983" s="82" t="s">
        <v>1716</v>
      </c>
    </row>
    <row r="984" spans="1:4" ht="12" customHeight="1">
      <c r="A984" s="257" t="s">
        <v>191</v>
      </c>
      <c r="B984" s="97" t="s">
        <v>1731</v>
      </c>
      <c r="C984" s="97" t="s">
        <v>1732</v>
      </c>
      <c r="D984" s="82" t="s">
        <v>1716</v>
      </c>
    </row>
    <row r="985" spans="1:4" ht="12" customHeight="1">
      <c r="A985" s="257" t="s">
        <v>191</v>
      </c>
      <c r="B985" s="97" t="s">
        <v>2216</v>
      </c>
      <c r="C985" s="97" t="s">
        <v>2217</v>
      </c>
      <c r="D985" s="82" t="s">
        <v>1799</v>
      </c>
    </row>
    <row r="986" spans="1:4" ht="12" customHeight="1">
      <c r="A986" s="257" t="s">
        <v>191</v>
      </c>
      <c r="B986" s="97" t="s">
        <v>1733</v>
      </c>
      <c r="C986" s="97" t="s">
        <v>1734</v>
      </c>
      <c r="D986" s="82" t="s">
        <v>974</v>
      </c>
    </row>
    <row r="987" spans="1:4" ht="12" customHeight="1">
      <c r="A987" s="257" t="s">
        <v>191</v>
      </c>
      <c r="B987" s="97" t="s">
        <v>1735</v>
      </c>
      <c r="C987" s="97" t="s">
        <v>1736</v>
      </c>
      <c r="D987" s="82" t="s">
        <v>974</v>
      </c>
    </row>
    <row r="988" spans="1:4" ht="12" customHeight="1">
      <c r="A988" s="257" t="s">
        <v>191</v>
      </c>
      <c r="B988" s="97" t="s">
        <v>1737</v>
      </c>
      <c r="C988" s="97" t="s">
        <v>2114</v>
      </c>
      <c r="D988" s="261" t="s">
        <v>974</v>
      </c>
    </row>
    <row r="989" spans="1:4" ht="12" customHeight="1">
      <c r="A989" s="257"/>
      <c r="B989" s="119" t="s">
        <v>1738</v>
      </c>
      <c r="C989" s="126" t="s">
        <v>1739</v>
      </c>
      <c r="D989" s="82" t="s">
        <v>974</v>
      </c>
    </row>
    <row r="990" spans="1:4" ht="12" customHeight="1">
      <c r="A990" s="257"/>
      <c r="B990" s="119"/>
      <c r="C990" s="126"/>
      <c r="D990" s="75"/>
    </row>
    <row r="991" spans="1:4" ht="12" customHeight="1">
      <c r="A991" s="257" t="s">
        <v>193</v>
      </c>
      <c r="B991" s="97"/>
      <c r="C991" s="250" t="s">
        <v>1740</v>
      </c>
      <c r="D991" s="75"/>
    </row>
    <row r="992" spans="1:4" ht="12" customHeight="1">
      <c r="A992" s="257"/>
      <c r="B992" s="93" t="s">
        <v>2115</v>
      </c>
      <c r="C992" s="83" t="s">
        <v>2116</v>
      </c>
      <c r="D992" s="82" t="s">
        <v>974</v>
      </c>
    </row>
    <row r="993" spans="1:4" ht="12" customHeight="1">
      <c r="A993" s="257"/>
      <c r="B993" s="97"/>
      <c r="C993" s="97"/>
      <c r="D993" s="67"/>
    </row>
    <row r="994" spans="1:4" ht="12" customHeight="1">
      <c r="A994" s="257"/>
      <c r="B994" s="97"/>
      <c r="C994" s="250"/>
      <c r="D994" s="67"/>
    </row>
    <row r="995" spans="1:4" ht="12" customHeight="1">
      <c r="A995" s="257"/>
      <c r="B995" s="182"/>
      <c r="C995" s="183"/>
      <c r="D995" s="67"/>
    </row>
    <row r="996" spans="1:4" ht="12" customHeight="1">
      <c r="A996" s="257"/>
      <c r="B996" s="182"/>
      <c r="C996" s="183"/>
      <c r="D996" s="67"/>
    </row>
    <row r="997" spans="1:4" ht="12" customHeight="1">
      <c r="A997" s="257"/>
      <c r="B997" s="264"/>
      <c r="C997" s="183"/>
      <c r="D997" s="67"/>
    </row>
    <row r="998" spans="1:4" ht="12" customHeight="1">
      <c r="A998" s="257" t="s">
        <v>194</v>
      </c>
      <c r="B998" s="176"/>
      <c r="C998" s="265" t="s">
        <v>1741</v>
      </c>
      <c r="D998" s="67"/>
    </row>
    <row r="999" spans="1:4" ht="12" customHeight="1">
      <c r="A999" s="257"/>
      <c r="B999" s="182"/>
      <c r="C999" s="183"/>
      <c r="D999" s="67"/>
    </row>
    <row r="1000" spans="1:4" ht="12" customHeight="1">
      <c r="A1000" s="257"/>
      <c r="B1000" s="182"/>
      <c r="C1000" s="183"/>
      <c r="D1000" s="67"/>
    </row>
    <row r="1001" spans="1:4" ht="12" customHeight="1">
      <c r="A1001" s="257"/>
      <c r="B1001" s="182"/>
      <c r="C1001" s="266"/>
      <c r="D1001" s="67"/>
    </row>
    <row r="1002" spans="1:4" ht="12" customHeight="1">
      <c r="A1002" s="148" t="s">
        <v>196</v>
      </c>
      <c r="B1002" s="119"/>
      <c r="C1002" s="121" t="s">
        <v>1742</v>
      </c>
      <c r="D1002" s="82"/>
    </row>
    <row r="1003" spans="1:4" ht="12" customHeight="1">
      <c r="A1003" s="148" t="s">
        <v>196</v>
      </c>
      <c r="B1003" s="208" t="s">
        <v>1743</v>
      </c>
      <c r="C1003" s="115" t="s">
        <v>1744</v>
      </c>
      <c r="D1003" s="75" t="s">
        <v>974</v>
      </c>
    </row>
    <row r="1004" spans="1:4" ht="12" customHeight="1">
      <c r="A1004" s="148" t="s">
        <v>196</v>
      </c>
      <c r="B1004" s="208" t="s">
        <v>1745</v>
      </c>
      <c r="C1004" s="115" t="s">
        <v>1746</v>
      </c>
      <c r="D1004" s="75" t="s">
        <v>974</v>
      </c>
    </row>
    <row r="1005" spans="1:4" ht="12" customHeight="1">
      <c r="A1005" s="257"/>
      <c r="B1005" s="182"/>
      <c r="C1005" s="183"/>
      <c r="D1005" s="67"/>
    </row>
    <row r="1006" spans="1:4" ht="12" customHeight="1">
      <c r="A1006" s="257"/>
      <c r="B1006" s="182"/>
      <c r="C1006" s="183"/>
      <c r="D1006" s="67"/>
    </row>
    <row r="1007" spans="1:4" ht="12" customHeight="1">
      <c r="A1007" s="257"/>
      <c r="B1007" s="182"/>
      <c r="C1007" s="183"/>
      <c r="D1007" s="67"/>
    </row>
    <row r="1008" spans="1:4" ht="12" customHeight="1">
      <c r="A1008" s="257"/>
      <c r="B1008" s="119"/>
      <c r="C1008" s="126"/>
      <c r="D1008" s="75"/>
    </row>
    <row r="1009" spans="1:4" ht="12" customHeight="1">
      <c r="A1009" s="114" t="s">
        <v>197</v>
      </c>
      <c r="B1009" s="267"/>
      <c r="C1009" s="121" t="s">
        <v>1747</v>
      </c>
      <c r="D1009" s="75"/>
    </row>
    <row r="1010" spans="1:4" ht="12" customHeight="1">
      <c r="A1010" s="114" t="s">
        <v>197</v>
      </c>
      <c r="B1010" s="119" t="s">
        <v>1748</v>
      </c>
      <c r="C1010" s="126" t="s">
        <v>2117</v>
      </c>
      <c r="D1010" s="75" t="s">
        <v>974</v>
      </c>
    </row>
    <row r="1011" spans="1:4" ht="12" customHeight="1">
      <c r="A1011" s="114" t="s">
        <v>197</v>
      </c>
      <c r="B1011" s="119" t="s">
        <v>2118</v>
      </c>
      <c r="C1011" s="126" t="s">
        <v>2119</v>
      </c>
      <c r="D1011" s="75" t="s">
        <v>974</v>
      </c>
    </row>
    <row r="1012" spans="1:4" ht="12" customHeight="1">
      <c r="A1012" s="114" t="s">
        <v>197</v>
      </c>
      <c r="B1012" s="119" t="s">
        <v>2120</v>
      </c>
      <c r="C1012" s="201" t="s">
        <v>2121</v>
      </c>
      <c r="D1012" s="75" t="s">
        <v>974</v>
      </c>
    </row>
    <row r="1013" spans="1:4" ht="12" customHeight="1">
      <c r="A1013" s="114" t="s">
        <v>197</v>
      </c>
      <c r="B1013" s="119"/>
      <c r="C1013" s="107"/>
      <c r="D1013" s="75" t="s">
        <v>974</v>
      </c>
    </row>
    <row r="1014" spans="1:4" ht="12" customHeight="1">
      <c r="A1014" s="114" t="s">
        <v>197</v>
      </c>
      <c r="B1014" s="119" t="s">
        <v>2122</v>
      </c>
      <c r="C1014" s="268" t="s">
        <v>2123</v>
      </c>
      <c r="D1014" s="75" t="s">
        <v>974</v>
      </c>
    </row>
    <row r="1015" spans="1:4" ht="12" customHeight="1">
      <c r="A1015" s="114" t="s">
        <v>197</v>
      </c>
      <c r="B1015" s="93" t="s">
        <v>2124</v>
      </c>
      <c r="C1015" s="83" t="s">
        <v>2125</v>
      </c>
      <c r="D1015" s="75" t="s">
        <v>974</v>
      </c>
    </row>
    <row r="1016" spans="1:4" ht="12" customHeight="1">
      <c r="A1016" s="269"/>
      <c r="B1016" s="119"/>
      <c r="C1016" s="243"/>
      <c r="D1016" s="75"/>
    </row>
    <row r="1017" spans="1:4" ht="12" customHeight="1">
      <c r="A1017" s="269" t="s">
        <v>203</v>
      </c>
      <c r="B1017" s="174"/>
      <c r="C1017" s="121" t="s">
        <v>1749</v>
      </c>
      <c r="D1017" s="75"/>
    </row>
    <row r="1018" spans="1:4" ht="12" customHeight="1">
      <c r="A1018" s="269" t="s">
        <v>203</v>
      </c>
      <c r="B1018" s="119" t="s">
        <v>1750</v>
      </c>
      <c r="C1018" s="126" t="s">
        <v>1751</v>
      </c>
      <c r="D1018" s="75" t="s">
        <v>974</v>
      </c>
    </row>
    <row r="1019" spans="1:4" ht="12" customHeight="1">
      <c r="A1019" s="269" t="s">
        <v>203</v>
      </c>
      <c r="B1019" s="174"/>
      <c r="C1019" s="243"/>
      <c r="D1019" s="75"/>
    </row>
    <row r="1020" spans="1:4" ht="12" customHeight="1">
      <c r="A1020" s="269" t="s">
        <v>203</v>
      </c>
      <c r="B1020" s="119"/>
      <c r="C1020" s="126"/>
      <c r="D1020" s="75"/>
    </row>
    <row r="1021" spans="1:4" ht="12" customHeight="1">
      <c r="A1021" s="269" t="s">
        <v>203</v>
      </c>
      <c r="B1021" s="119"/>
      <c r="C1021" s="126"/>
      <c r="D1021" s="75"/>
    </row>
    <row r="1022" spans="1:4" ht="12" customHeight="1">
      <c r="A1022" s="114" t="s">
        <v>205</v>
      </c>
      <c r="B1022" s="174"/>
      <c r="C1022" s="121" t="s">
        <v>1752</v>
      </c>
      <c r="D1022" s="75"/>
    </row>
    <row r="1023" spans="1:4" ht="12" customHeight="1">
      <c r="A1023" s="114" t="s">
        <v>205</v>
      </c>
      <c r="B1023" s="119" t="s">
        <v>1753</v>
      </c>
      <c r="C1023" s="126" t="s">
        <v>2126</v>
      </c>
      <c r="D1023" s="75" t="s">
        <v>974</v>
      </c>
    </row>
    <row r="1024" spans="1:4" ht="12" customHeight="1">
      <c r="A1024" s="114" t="s">
        <v>205</v>
      </c>
      <c r="B1024" s="119"/>
      <c r="C1024" s="270"/>
      <c r="D1024" s="75"/>
    </row>
    <row r="1025" spans="1:4" ht="12" customHeight="1">
      <c r="A1025" s="114"/>
      <c r="B1025" s="119"/>
      <c r="C1025" s="270"/>
      <c r="D1025" s="79"/>
    </row>
    <row r="1026" spans="1:4" ht="12" customHeight="1">
      <c r="A1026" s="114"/>
      <c r="B1026" s="119"/>
      <c r="C1026" s="126"/>
      <c r="D1026" s="79"/>
    </row>
    <row r="1027" spans="1:4" ht="12" customHeight="1">
      <c r="A1027" s="114" t="s">
        <v>210</v>
      </c>
      <c r="B1027" s="119"/>
      <c r="C1027" s="294" t="s">
        <v>211</v>
      </c>
      <c r="D1027" s="79"/>
    </row>
    <row r="1028" spans="1:4" ht="12" customHeight="1">
      <c r="A1028" s="114" t="s">
        <v>210</v>
      </c>
      <c r="B1028" s="119" t="s">
        <v>2153</v>
      </c>
      <c r="C1028" s="70" t="s">
        <v>2154</v>
      </c>
      <c r="D1028" s="79" t="s">
        <v>974</v>
      </c>
    </row>
    <row r="1029" spans="1:4" ht="12" customHeight="1">
      <c r="A1029" s="114"/>
      <c r="B1029" s="119"/>
      <c r="C1029" s="126"/>
      <c r="D1029" s="79"/>
    </row>
    <row r="1030" spans="1:4" ht="12" customHeight="1">
      <c r="A1030" s="114" t="s">
        <v>2127</v>
      </c>
      <c r="B1030" s="200"/>
      <c r="C1030" s="295" t="s">
        <v>212</v>
      </c>
      <c r="D1030" s="79"/>
    </row>
    <row r="1031" spans="1:4" ht="12" customHeight="1">
      <c r="A1031" s="114" t="s">
        <v>2127</v>
      </c>
      <c r="B1031" s="83" t="s">
        <v>2128</v>
      </c>
      <c r="C1031" s="83" t="s">
        <v>2129</v>
      </c>
      <c r="D1031" s="75" t="s">
        <v>714</v>
      </c>
    </row>
    <row r="1032" spans="1:4" ht="12" customHeight="1">
      <c r="A1032" s="114"/>
      <c r="B1032" s="119"/>
      <c r="C1032" s="270"/>
      <c r="D1032" s="79"/>
    </row>
    <row r="1033" spans="1:4" ht="12" customHeight="1">
      <c r="A1033" s="114"/>
      <c r="B1033" s="119"/>
      <c r="C1033" s="270"/>
      <c r="D1033" s="79"/>
    </row>
    <row r="1034" spans="1:4" ht="12" customHeight="1">
      <c r="A1034" s="114"/>
      <c r="B1034" s="119"/>
      <c r="C1034" s="270"/>
      <c r="D1034" s="79"/>
    </row>
    <row r="1035" spans="1:4" ht="12" customHeight="1">
      <c r="A1035" s="114"/>
      <c r="B1035" s="119"/>
      <c r="C1035" s="270"/>
      <c r="D1035" s="79"/>
    </row>
    <row r="1036" spans="1:4" ht="12" customHeight="1">
      <c r="A1036" s="114"/>
      <c r="B1036" s="119"/>
      <c r="C1036" s="270"/>
      <c r="D1036" s="79"/>
    </row>
    <row r="1037" spans="1:4" ht="12" customHeight="1">
      <c r="A1037" s="114"/>
      <c r="B1037" s="119"/>
      <c r="C1037" s="126"/>
      <c r="D1037" s="79"/>
    </row>
    <row r="1038" spans="1:4" ht="12" customHeight="1">
      <c r="A1038" s="192" t="s">
        <v>1754</v>
      </c>
      <c r="B1038" s="174"/>
      <c r="C1038" s="121" t="s">
        <v>1755</v>
      </c>
      <c r="D1038" s="75"/>
    </row>
    <row r="1039" spans="1:4" ht="12" customHeight="1">
      <c r="A1039" s="192" t="s">
        <v>1754</v>
      </c>
      <c r="B1039" s="149" t="s">
        <v>1756</v>
      </c>
      <c r="C1039" s="126" t="s">
        <v>1757</v>
      </c>
      <c r="D1039" s="75" t="s">
        <v>974</v>
      </c>
    </row>
    <row r="1040" spans="1:4" ht="12" customHeight="1">
      <c r="A1040" s="192" t="s">
        <v>1754</v>
      </c>
      <c r="B1040" s="208" t="s">
        <v>1758</v>
      </c>
      <c r="C1040" s="115" t="s">
        <v>1759</v>
      </c>
      <c r="D1040" s="75" t="s">
        <v>974</v>
      </c>
    </row>
    <row r="1041" spans="1:4" ht="12" customHeight="1">
      <c r="A1041" s="192" t="s">
        <v>1754</v>
      </c>
      <c r="B1041" s="208" t="s">
        <v>1760</v>
      </c>
      <c r="C1041" s="115" t="s">
        <v>1761</v>
      </c>
      <c r="D1041" s="75" t="s">
        <v>974</v>
      </c>
    </row>
    <row r="1042" spans="1:4" ht="12" customHeight="1">
      <c r="A1042" s="192" t="s">
        <v>1754</v>
      </c>
      <c r="B1042" s="208" t="s">
        <v>1762</v>
      </c>
      <c r="C1042" s="115" t="s">
        <v>1763</v>
      </c>
      <c r="D1042" s="75" t="s">
        <v>974</v>
      </c>
    </row>
    <row r="1043" spans="1:4" ht="12" customHeight="1">
      <c r="A1043" s="192" t="s">
        <v>1754</v>
      </c>
      <c r="B1043" s="208" t="s">
        <v>1764</v>
      </c>
      <c r="C1043" s="115" t="s">
        <v>1765</v>
      </c>
      <c r="D1043" s="75" t="s">
        <v>974</v>
      </c>
    </row>
    <row r="1044" spans="1:4" ht="12" customHeight="1">
      <c r="A1044" s="192" t="s">
        <v>1754</v>
      </c>
      <c r="B1044" s="208" t="s">
        <v>1766</v>
      </c>
      <c r="C1044" s="123" t="s">
        <v>1767</v>
      </c>
      <c r="D1044" s="75" t="s">
        <v>974</v>
      </c>
    </row>
    <row r="1045" spans="1:4" ht="12" customHeight="1">
      <c r="A1045" s="192" t="s">
        <v>1754</v>
      </c>
      <c r="B1045" s="271" t="s">
        <v>1768</v>
      </c>
      <c r="C1045" s="126" t="s">
        <v>1769</v>
      </c>
      <c r="D1045" s="75" t="s">
        <v>974</v>
      </c>
    </row>
    <row r="1046" spans="1:4" ht="12" customHeight="1">
      <c r="A1046" s="192" t="s">
        <v>1754</v>
      </c>
      <c r="B1046" s="150" t="s">
        <v>1770</v>
      </c>
      <c r="C1046" s="115" t="s">
        <v>1771</v>
      </c>
      <c r="D1046" s="75" t="s">
        <v>974</v>
      </c>
    </row>
    <row r="1047" spans="1:4" ht="12" customHeight="1">
      <c r="A1047" s="192" t="s">
        <v>1754</v>
      </c>
      <c r="B1047" s="150" t="s">
        <v>1772</v>
      </c>
      <c r="C1047" s="115" t="s">
        <v>1773</v>
      </c>
      <c r="D1047" s="75" t="s">
        <v>974</v>
      </c>
    </row>
    <row r="1048" spans="1:4" ht="12" customHeight="1">
      <c r="A1048" s="192" t="s">
        <v>1754</v>
      </c>
      <c r="B1048" s="150" t="s">
        <v>1774</v>
      </c>
      <c r="C1048" s="115" t="s">
        <v>1775</v>
      </c>
      <c r="D1048" s="75" t="s">
        <v>974</v>
      </c>
    </row>
    <row r="1049" spans="1:4" ht="12" customHeight="1">
      <c r="A1049" s="192" t="s">
        <v>1754</v>
      </c>
      <c r="B1049" s="150" t="s">
        <v>1776</v>
      </c>
      <c r="C1049" s="115" t="s">
        <v>1777</v>
      </c>
      <c r="D1049" s="75" t="s">
        <v>974</v>
      </c>
    </row>
    <row r="1050" spans="1:4" ht="12" customHeight="1">
      <c r="A1050" s="192" t="s">
        <v>1754</v>
      </c>
      <c r="B1050" s="150" t="s">
        <v>1778</v>
      </c>
      <c r="C1050" s="115" t="s">
        <v>1779</v>
      </c>
      <c r="D1050" s="75" t="s">
        <v>974</v>
      </c>
    </row>
    <row r="1051" spans="1:4" ht="12" customHeight="1">
      <c r="A1051" s="192" t="s">
        <v>1754</v>
      </c>
      <c r="B1051" s="150" t="s">
        <v>1780</v>
      </c>
      <c r="C1051" s="115" t="s">
        <v>1781</v>
      </c>
      <c r="D1051" s="75" t="s">
        <v>974</v>
      </c>
    </row>
    <row r="1052" spans="1:4" ht="12" customHeight="1">
      <c r="A1052" s="192" t="s">
        <v>1754</v>
      </c>
      <c r="B1052" s="150" t="s">
        <v>1782</v>
      </c>
      <c r="C1052" s="115" t="s">
        <v>1783</v>
      </c>
      <c r="D1052" s="75" t="s">
        <v>974</v>
      </c>
    </row>
    <row r="1053" spans="1:4" ht="12" customHeight="1">
      <c r="A1053" s="192" t="s">
        <v>1754</v>
      </c>
      <c r="B1053" s="272" t="s">
        <v>1784</v>
      </c>
      <c r="C1053" s="126" t="s">
        <v>1785</v>
      </c>
      <c r="D1053" s="75" t="s">
        <v>974</v>
      </c>
    </row>
    <row r="1054" spans="1:4" ht="12" customHeight="1">
      <c r="A1054" s="192" t="s">
        <v>1754</v>
      </c>
      <c r="B1054" s="149" t="s">
        <v>1786</v>
      </c>
      <c r="C1054" s="126" t="s">
        <v>1787</v>
      </c>
      <c r="D1054" s="75" t="s">
        <v>974</v>
      </c>
    </row>
    <row r="1055" spans="1:4" ht="12" customHeight="1">
      <c r="A1055" s="192" t="s">
        <v>1754</v>
      </c>
      <c r="B1055" s="150" t="s">
        <v>1788</v>
      </c>
      <c r="C1055" s="115" t="s">
        <v>1789</v>
      </c>
      <c r="D1055" s="75" t="s">
        <v>974</v>
      </c>
    </row>
    <row r="1056" spans="1:4" ht="12" customHeight="1">
      <c r="A1056" s="192" t="s">
        <v>1754</v>
      </c>
      <c r="B1056" s="150" t="s">
        <v>1790</v>
      </c>
      <c r="C1056" s="115" t="s">
        <v>1791</v>
      </c>
      <c r="D1056" s="75" t="s">
        <v>974</v>
      </c>
    </row>
    <row r="1057" spans="1:4" ht="12" customHeight="1">
      <c r="A1057" s="192" t="s">
        <v>1754</v>
      </c>
      <c r="B1057" s="150" t="s">
        <v>1792</v>
      </c>
      <c r="C1057" s="123" t="s">
        <v>1793</v>
      </c>
      <c r="D1057" s="75" t="s">
        <v>974</v>
      </c>
    </row>
    <row r="1058" spans="1:4" ht="12" customHeight="1">
      <c r="A1058" s="192" t="s">
        <v>1754</v>
      </c>
      <c r="B1058" s="150" t="s">
        <v>1794</v>
      </c>
      <c r="C1058" s="115" t="s">
        <v>1795</v>
      </c>
      <c r="D1058" s="75" t="s">
        <v>974</v>
      </c>
    </row>
    <row r="1059" spans="1:4" ht="12" customHeight="1">
      <c r="A1059" s="192" t="s">
        <v>1754</v>
      </c>
      <c r="B1059" s="150" t="s">
        <v>1796</v>
      </c>
      <c r="C1059" s="115" t="s">
        <v>1783</v>
      </c>
      <c r="D1059" s="75" t="s">
        <v>974</v>
      </c>
    </row>
    <row r="1060" spans="1:4" ht="12" customHeight="1">
      <c r="A1060" s="192" t="s">
        <v>1754</v>
      </c>
      <c r="B1060" s="150" t="s">
        <v>1797</v>
      </c>
      <c r="C1060" s="97" t="s">
        <v>1798</v>
      </c>
      <c r="D1060" s="75" t="s">
        <v>1799</v>
      </c>
    </row>
    <row r="1061" spans="1:4" ht="12" customHeight="1">
      <c r="A1061" s="192" t="s">
        <v>1754</v>
      </c>
      <c r="B1061" s="273" t="s">
        <v>1800</v>
      </c>
      <c r="C1061" s="126" t="s">
        <v>1801</v>
      </c>
      <c r="D1061" s="75" t="s">
        <v>974</v>
      </c>
    </row>
    <row r="1062" spans="1:4" ht="12" customHeight="1">
      <c r="A1062" s="192" t="s">
        <v>1754</v>
      </c>
      <c r="B1062" s="152" t="s">
        <v>1802</v>
      </c>
      <c r="C1062" s="115" t="s">
        <v>1803</v>
      </c>
      <c r="D1062" s="75" t="s">
        <v>974</v>
      </c>
    </row>
    <row r="1063" spans="1:4" ht="12" customHeight="1">
      <c r="A1063" s="192" t="s">
        <v>1754</v>
      </c>
      <c r="B1063" s="150" t="s">
        <v>1804</v>
      </c>
      <c r="C1063" s="115" t="s">
        <v>1805</v>
      </c>
      <c r="D1063" s="75" t="s">
        <v>974</v>
      </c>
    </row>
    <row r="1064" spans="1:4" ht="12" customHeight="1">
      <c r="A1064" s="192" t="s">
        <v>1754</v>
      </c>
      <c r="B1064" s="150" t="s">
        <v>1806</v>
      </c>
      <c r="C1064" s="115" t="s">
        <v>1807</v>
      </c>
      <c r="D1064" s="75" t="s">
        <v>974</v>
      </c>
    </row>
    <row r="1065" spans="1:4" ht="12" customHeight="1">
      <c r="A1065" s="192" t="s">
        <v>1754</v>
      </c>
      <c r="B1065" s="150" t="s">
        <v>1808</v>
      </c>
      <c r="C1065" s="115" t="s">
        <v>1809</v>
      </c>
      <c r="D1065" s="75" t="s">
        <v>974</v>
      </c>
    </row>
    <row r="1066" spans="1:4" ht="12" customHeight="1">
      <c r="A1066" s="192" t="s">
        <v>1754</v>
      </c>
      <c r="B1066" s="151" t="s">
        <v>1810</v>
      </c>
      <c r="C1066" s="115" t="s">
        <v>1811</v>
      </c>
      <c r="D1066" s="75" t="s">
        <v>974</v>
      </c>
    </row>
    <row r="1067" spans="1:4" ht="12" customHeight="1">
      <c r="A1067" s="192" t="s">
        <v>1754</v>
      </c>
      <c r="B1067" s="151" t="s">
        <v>1812</v>
      </c>
      <c r="C1067" s="123" t="s">
        <v>1813</v>
      </c>
      <c r="D1067" s="75" t="s">
        <v>974</v>
      </c>
    </row>
    <row r="1068" spans="1:4" ht="12" customHeight="1">
      <c r="A1068" s="192" t="s">
        <v>1754</v>
      </c>
      <c r="B1068" s="150" t="s">
        <v>1814</v>
      </c>
      <c r="C1068" s="115" t="s">
        <v>1815</v>
      </c>
      <c r="D1068" s="75" t="s">
        <v>974</v>
      </c>
    </row>
    <row r="1069" spans="1:4" ht="12" customHeight="1">
      <c r="A1069" s="192" t="s">
        <v>1754</v>
      </c>
      <c r="B1069" s="151" t="s">
        <v>1816</v>
      </c>
      <c r="C1069" s="115" t="s">
        <v>1817</v>
      </c>
      <c r="D1069" s="75" t="s">
        <v>974</v>
      </c>
    </row>
    <row r="1070" spans="1:4" ht="12" customHeight="1">
      <c r="A1070" s="192" t="s">
        <v>1754</v>
      </c>
      <c r="B1070" s="150" t="s">
        <v>1818</v>
      </c>
      <c r="C1070" s="131" t="s">
        <v>1819</v>
      </c>
      <c r="D1070" s="75" t="s">
        <v>974</v>
      </c>
    </row>
    <row r="1071" spans="1:4" ht="12" customHeight="1">
      <c r="A1071" s="192" t="s">
        <v>1754</v>
      </c>
      <c r="B1071" s="150" t="s">
        <v>1820</v>
      </c>
      <c r="C1071" s="126" t="s">
        <v>1821</v>
      </c>
      <c r="D1071" s="75" t="s">
        <v>1822</v>
      </c>
    </row>
    <row r="1072" spans="1:4" ht="12" customHeight="1">
      <c r="A1072" s="192" t="s">
        <v>1754</v>
      </c>
      <c r="B1072" s="150" t="s">
        <v>1823</v>
      </c>
      <c r="C1072" s="123" t="s">
        <v>1824</v>
      </c>
      <c r="D1072" s="75" t="s">
        <v>974</v>
      </c>
    </row>
    <row r="1073" spans="1:4" ht="12" customHeight="1">
      <c r="A1073" s="192" t="s">
        <v>1754</v>
      </c>
      <c r="B1073" s="150" t="s">
        <v>1825</v>
      </c>
      <c r="C1073" s="115" t="s">
        <v>1826</v>
      </c>
      <c r="D1073" s="75" t="s">
        <v>974</v>
      </c>
    </row>
    <row r="1074" spans="1:4" ht="12" customHeight="1">
      <c r="A1074" s="192" t="s">
        <v>1754</v>
      </c>
      <c r="B1074" s="151" t="s">
        <v>1827</v>
      </c>
      <c r="C1074" s="115" t="s">
        <v>1828</v>
      </c>
      <c r="D1074" s="75" t="s">
        <v>974</v>
      </c>
    </row>
    <row r="1075" spans="1:4" ht="12" customHeight="1">
      <c r="A1075" s="192" t="s">
        <v>1754</v>
      </c>
      <c r="B1075" s="150" t="s">
        <v>1829</v>
      </c>
      <c r="C1075" s="115" t="s">
        <v>1830</v>
      </c>
      <c r="D1075" s="75" t="s">
        <v>974</v>
      </c>
    </row>
    <row r="1076" spans="1:4" ht="12" customHeight="1">
      <c r="A1076" s="192" t="s">
        <v>1754</v>
      </c>
      <c r="B1076" s="150" t="s">
        <v>1831</v>
      </c>
      <c r="C1076" s="115" t="s">
        <v>1832</v>
      </c>
      <c r="D1076" s="75" t="s">
        <v>1822</v>
      </c>
    </row>
    <row r="1077" spans="1:4" ht="12" customHeight="1">
      <c r="A1077" s="192" t="s">
        <v>1754</v>
      </c>
      <c r="B1077" s="150" t="s">
        <v>1833</v>
      </c>
      <c r="C1077" s="115" t="s">
        <v>1834</v>
      </c>
      <c r="D1077" s="75" t="s">
        <v>974</v>
      </c>
    </row>
    <row r="1078" spans="1:4" ht="12" customHeight="1">
      <c r="A1078" s="192" t="s">
        <v>1754</v>
      </c>
      <c r="B1078" s="150" t="s">
        <v>1835</v>
      </c>
      <c r="C1078" s="115" t="s">
        <v>1836</v>
      </c>
      <c r="D1078" s="75" t="s">
        <v>974</v>
      </c>
    </row>
    <row r="1079" spans="1:4" ht="12" customHeight="1">
      <c r="A1079" s="192" t="s">
        <v>1754</v>
      </c>
      <c r="B1079" s="150" t="s">
        <v>1837</v>
      </c>
      <c r="C1079" s="115" t="s">
        <v>1838</v>
      </c>
      <c r="D1079" s="75" t="s">
        <v>974</v>
      </c>
    </row>
    <row r="1080" spans="1:4" ht="12" customHeight="1">
      <c r="A1080" s="192" t="s">
        <v>1754</v>
      </c>
      <c r="B1080" s="151" t="s">
        <v>1839</v>
      </c>
      <c r="C1080" s="115" t="s">
        <v>1840</v>
      </c>
      <c r="D1080" s="75" t="s">
        <v>974</v>
      </c>
    </row>
    <row r="1081" spans="1:4" ht="12" customHeight="1">
      <c r="A1081" s="192" t="s">
        <v>1754</v>
      </c>
      <c r="B1081" s="150" t="s">
        <v>1841</v>
      </c>
      <c r="C1081" s="126" t="s">
        <v>1842</v>
      </c>
      <c r="D1081" s="75" t="s">
        <v>974</v>
      </c>
    </row>
    <row r="1082" spans="1:4" ht="12" customHeight="1">
      <c r="A1082" s="192" t="s">
        <v>1754</v>
      </c>
      <c r="B1082" s="150" t="s">
        <v>1843</v>
      </c>
      <c r="C1082" s="123" t="s">
        <v>1844</v>
      </c>
      <c r="D1082" s="75" t="s">
        <v>1822</v>
      </c>
    </row>
    <row r="1083" spans="1:4" ht="12" customHeight="1">
      <c r="A1083" s="192" t="s">
        <v>1754</v>
      </c>
      <c r="B1083" s="150" t="s">
        <v>1845</v>
      </c>
      <c r="C1083" s="115" t="s">
        <v>1846</v>
      </c>
      <c r="D1083" s="75" t="s">
        <v>974</v>
      </c>
    </row>
    <row r="1084" spans="1:4" ht="12" customHeight="1">
      <c r="A1084" s="192" t="s">
        <v>1754</v>
      </c>
      <c r="B1084" s="153" t="s">
        <v>1847</v>
      </c>
      <c r="C1084" s="115" t="s">
        <v>1848</v>
      </c>
      <c r="D1084" s="75" t="s">
        <v>974</v>
      </c>
    </row>
    <row r="1085" spans="1:4" ht="12" customHeight="1">
      <c r="A1085" s="192" t="s">
        <v>1754</v>
      </c>
      <c r="B1085" s="153" t="s">
        <v>1849</v>
      </c>
      <c r="C1085" s="115" t="s">
        <v>1850</v>
      </c>
      <c r="D1085" s="75" t="s">
        <v>974</v>
      </c>
    </row>
    <row r="1086" spans="1:4" ht="12" customHeight="1">
      <c r="A1086" s="192" t="s">
        <v>1754</v>
      </c>
      <c r="B1086" s="153" t="s">
        <v>1851</v>
      </c>
      <c r="C1086" s="115" t="s">
        <v>1852</v>
      </c>
      <c r="D1086" s="75" t="s">
        <v>974</v>
      </c>
    </row>
    <row r="1087" spans="1:4" ht="12" customHeight="1">
      <c r="A1087" s="192" t="s">
        <v>1754</v>
      </c>
      <c r="B1087" s="153" t="s">
        <v>1853</v>
      </c>
      <c r="C1087" s="97" t="s">
        <v>1854</v>
      </c>
      <c r="D1087" s="92" t="s">
        <v>714</v>
      </c>
    </row>
    <row r="1088" spans="1:4" ht="12" customHeight="1">
      <c r="A1088" s="192" t="s">
        <v>1754</v>
      </c>
      <c r="B1088" s="153" t="s">
        <v>1855</v>
      </c>
      <c r="C1088" s="97" t="s">
        <v>1856</v>
      </c>
      <c r="D1088" s="92" t="s">
        <v>714</v>
      </c>
    </row>
    <row r="1089" spans="1:4" ht="12" customHeight="1">
      <c r="A1089" s="192" t="s">
        <v>1754</v>
      </c>
      <c r="B1089" s="153" t="s">
        <v>1857</v>
      </c>
      <c r="C1089" s="97" t="s">
        <v>1858</v>
      </c>
      <c r="D1089" s="92" t="s">
        <v>714</v>
      </c>
    </row>
    <row r="1090" spans="1:4" ht="12" customHeight="1">
      <c r="A1090" s="192"/>
      <c r="B1090" s="150"/>
      <c r="C1090" s="123"/>
      <c r="D1090" s="75"/>
    </row>
    <row r="1091" spans="1:4" ht="12" customHeight="1">
      <c r="A1091" s="192"/>
      <c r="B1091" s="150"/>
      <c r="C1091" s="115"/>
      <c r="D1091" s="75"/>
    </row>
    <row r="1092" spans="1:4" ht="12" customHeight="1">
      <c r="A1092" s="104">
        <v>32</v>
      </c>
      <c r="B1092" s="107"/>
      <c r="C1092" s="112" t="s">
        <v>2130</v>
      </c>
      <c r="D1092" s="92"/>
    </row>
    <row r="1093" spans="1:4" ht="12" customHeight="1">
      <c r="A1093" s="314" t="s">
        <v>2166</v>
      </c>
      <c r="B1093" s="274" t="s">
        <v>2155</v>
      </c>
      <c r="C1093" s="70" t="s">
        <v>2156</v>
      </c>
      <c r="D1093" s="92" t="s">
        <v>974</v>
      </c>
    </row>
    <row r="1094" spans="1:4" ht="12" customHeight="1">
      <c r="A1094" s="275" t="s">
        <v>2166</v>
      </c>
      <c r="B1094" s="274" t="s">
        <v>2131</v>
      </c>
      <c r="C1094" s="274" t="s">
        <v>2132</v>
      </c>
      <c r="D1094" s="92" t="s">
        <v>714</v>
      </c>
    </row>
    <row r="1095" spans="1:4" ht="12" customHeight="1">
      <c r="A1095" s="192" t="s">
        <v>2166</v>
      </c>
      <c r="B1095" s="153" t="s">
        <v>2226</v>
      </c>
      <c r="C1095" s="115" t="s">
        <v>2227</v>
      </c>
      <c r="D1095" s="92" t="s">
        <v>2228</v>
      </c>
    </row>
    <row r="1096" spans="1:4" ht="12" customHeight="1">
      <c r="A1096" s="192" t="s">
        <v>226</v>
      </c>
      <c r="B1096" s="150"/>
      <c r="C1096" s="121" t="s">
        <v>1859</v>
      </c>
      <c r="D1096" s="75"/>
    </row>
    <row r="1097" spans="1:4" ht="12" customHeight="1">
      <c r="A1097" s="275" t="s">
        <v>226</v>
      </c>
      <c r="B1097" s="97" t="s">
        <v>2133</v>
      </c>
      <c r="C1097" s="70" t="s">
        <v>2134</v>
      </c>
      <c r="D1097" s="92" t="s">
        <v>714</v>
      </c>
    </row>
    <row r="1098" spans="1:4" ht="12" customHeight="1">
      <c r="A1098" s="275" t="s">
        <v>226</v>
      </c>
      <c r="B1098" s="97" t="s">
        <v>1860</v>
      </c>
      <c r="C1098" s="97" t="s">
        <v>1861</v>
      </c>
      <c r="D1098" s="92" t="s">
        <v>714</v>
      </c>
    </row>
    <row r="1099" spans="1:4" ht="12" customHeight="1">
      <c r="A1099" s="192" t="s">
        <v>226</v>
      </c>
      <c r="B1099" s="97" t="s">
        <v>1862</v>
      </c>
      <c r="C1099" s="97" t="s">
        <v>1863</v>
      </c>
      <c r="D1099" s="92" t="s">
        <v>714</v>
      </c>
    </row>
    <row r="1100" spans="1:4" ht="26.25" customHeight="1">
      <c r="A1100" s="275" t="s">
        <v>226</v>
      </c>
      <c r="B1100" s="97" t="s">
        <v>2135</v>
      </c>
      <c r="C1100" s="97" t="s">
        <v>2136</v>
      </c>
      <c r="D1100" s="276" t="s">
        <v>714</v>
      </c>
    </row>
    <row r="1101" spans="1:4" ht="24">
      <c r="A1101" s="275" t="s">
        <v>226</v>
      </c>
      <c r="B1101" s="97" t="s">
        <v>2137</v>
      </c>
      <c r="C1101" s="93" t="s">
        <v>2138</v>
      </c>
      <c r="D1101" s="92" t="s">
        <v>714</v>
      </c>
    </row>
    <row r="1102" spans="1:4" ht="12" customHeight="1">
      <c r="A1102" s="192" t="s">
        <v>226</v>
      </c>
      <c r="B1102" s="97" t="s">
        <v>1864</v>
      </c>
      <c r="C1102" s="97" t="s">
        <v>2139</v>
      </c>
      <c r="D1102" s="92" t="s">
        <v>714</v>
      </c>
    </row>
    <row r="1103" spans="1:4" ht="12" customHeight="1">
      <c r="A1103" s="275" t="s">
        <v>226</v>
      </c>
      <c r="B1103" s="97" t="s">
        <v>1865</v>
      </c>
      <c r="C1103" s="97" t="s">
        <v>1866</v>
      </c>
      <c r="D1103" s="92" t="s">
        <v>714</v>
      </c>
    </row>
    <row r="1104" spans="1:4" ht="12" customHeight="1">
      <c r="A1104" s="275" t="s">
        <v>226</v>
      </c>
      <c r="B1104" s="97"/>
      <c r="C1104" s="97"/>
      <c r="D1104" s="92"/>
    </row>
    <row r="1105" spans="1:4" ht="12" customHeight="1">
      <c r="A1105" s="192" t="s">
        <v>228</v>
      </c>
      <c r="B1105" s="192"/>
      <c r="C1105" s="121" t="s">
        <v>1867</v>
      </c>
      <c r="D1105" s="75"/>
    </row>
    <row r="1106" spans="1:4" ht="12" customHeight="1">
      <c r="A1106" s="192" t="s">
        <v>228</v>
      </c>
      <c r="B1106" s="119" t="s">
        <v>1868</v>
      </c>
      <c r="C1106" s="126" t="s">
        <v>1869</v>
      </c>
      <c r="D1106" s="92" t="s">
        <v>714</v>
      </c>
    </row>
    <row r="1107" spans="1:4" ht="12" customHeight="1">
      <c r="A1107" s="192" t="s">
        <v>228</v>
      </c>
      <c r="B1107" s="119" t="s">
        <v>1870</v>
      </c>
      <c r="C1107" s="126" t="s">
        <v>1871</v>
      </c>
      <c r="D1107" s="92" t="s">
        <v>714</v>
      </c>
    </row>
    <row r="1108" spans="1:4" ht="12" customHeight="1">
      <c r="A1108" s="192" t="s">
        <v>228</v>
      </c>
      <c r="B1108" s="119" t="s">
        <v>1872</v>
      </c>
      <c r="C1108" s="126" t="s">
        <v>1873</v>
      </c>
      <c r="D1108" s="92" t="s">
        <v>714</v>
      </c>
    </row>
    <row r="1109" spans="1:4" ht="12" customHeight="1">
      <c r="A1109" s="192" t="s">
        <v>228</v>
      </c>
      <c r="B1109" s="119" t="s">
        <v>1874</v>
      </c>
      <c r="C1109" s="126" t="s">
        <v>1875</v>
      </c>
      <c r="D1109" s="92" t="s">
        <v>714</v>
      </c>
    </row>
    <row r="1110" spans="1:4" ht="12" customHeight="1">
      <c r="A1110" s="192" t="s">
        <v>228</v>
      </c>
      <c r="B1110" s="119" t="s">
        <v>1876</v>
      </c>
      <c r="C1110" s="126" t="s">
        <v>1877</v>
      </c>
      <c r="D1110" s="92" t="s">
        <v>714</v>
      </c>
    </row>
    <row r="1111" spans="1:4" ht="12" customHeight="1">
      <c r="A1111" s="192" t="s">
        <v>228</v>
      </c>
      <c r="B1111" s="119" t="s">
        <v>1878</v>
      </c>
      <c r="C1111" s="186" t="s">
        <v>1879</v>
      </c>
      <c r="D1111" s="92" t="s">
        <v>714</v>
      </c>
    </row>
    <row r="1112" spans="1:4" ht="12" customHeight="1">
      <c r="A1112" s="192" t="s">
        <v>228</v>
      </c>
      <c r="B1112" s="119" t="s">
        <v>1880</v>
      </c>
      <c r="C1112" s="176" t="s">
        <v>1881</v>
      </c>
      <c r="D1112" s="92" t="s">
        <v>714</v>
      </c>
    </row>
    <row r="1113" spans="1:4" ht="12" customHeight="1">
      <c r="A1113" s="277" t="s">
        <v>230</v>
      </c>
      <c r="B1113" s="174"/>
      <c r="C1113" s="121" t="s">
        <v>1882</v>
      </c>
      <c r="D1113" s="75"/>
    </row>
    <row r="1114" spans="1:4" ht="12" customHeight="1">
      <c r="A1114" s="277" t="s">
        <v>230</v>
      </c>
      <c r="B1114" s="126" t="s">
        <v>1883</v>
      </c>
      <c r="C1114" s="126" t="s">
        <v>1884</v>
      </c>
      <c r="D1114" s="75" t="s">
        <v>1885</v>
      </c>
    </row>
    <row r="1115" spans="1:4" ht="12" customHeight="1">
      <c r="A1115" s="277" t="s">
        <v>230</v>
      </c>
      <c r="B1115" s="97" t="s">
        <v>1886</v>
      </c>
      <c r="C1115" s="97" t="s">
        <v>1887</v>
      </c>
      <c r="D1115" s="75" t="s">
        <v>1885</v>
      </c>
    </row>
    <row r="1116" spans="1:4" ht="12" customHeight="1">
      <c r="A1116" s="277" t="s">
        <v>230</v>
      </c>
      <c r="B1116" s="97" t="s">
        <v>1888</v>
      </c>
      <c r="C1116" s="97" t="s">
        <v>1889</v>
      </c>
      <c r="D1116" s="75" t="s">
        <v>1885</v>
      </c>
    </row>
    <row r="1117" spans="1:4" ht="12" customHeight="1">
      <c r="A1117" s="277" t="s">
        <v>230</v>
      </c>
      <c r="B1117" s="97" t="s">
        <v>1890</v>
      </c>
      <c r="C1117" s="97" t="s">
        <v>1891</v>
      </c>
      <c r="D1117" s="75" t="s">
        <v>1885</v>
      </c>
    </row>
    <row r="1118" spans="1:4" ht="12" customHeight="1">
      <c r="A1118" s="277" t="s">
        <v>230</v>
      </c>
      <c r="B1118" s="97" t="s">
        <v>1892</v>
      </c>
      <c r="C1118" s="97" t="s">
        <v>1893</v>
      </c>
      <c r="D1118" s="75" t="s">
        <v>1885</v>
      </c>
    </row>
    <row r="1119" spans="1:4" ht="12" customHeight="1">
      <c r="A1119" s="277" t="s">
        <v>230</v>
      </c>
      <c r="B1119" s="97" t="s">
        <v>1894</v>
      </c>
      <c r="C1119" s="97" t="s">
        <v>1895</v>
      </c>
      <c r="D1119" s="75" t="s">
        <v>1885</v>
      </c>
    </row>
    <row r="1120" spans="1:4" ht="12" customHeight="1">
      <c r="A1120" s="277" t="s">
        <v>230</v>
      </c>
      <c r="B1120" s="150" t="s">
        <v>1896</v>
      </c>
      <c r="C1120" s="186" t="s">
        <v>1897</v>
      </c>
      <c r="D1120" s="75" t="s">
        <v>1885</v>
      </c>
    </row>
    <row r="1121" spans="1:4" ht="12" customHeight="1">
      <c r="A1121" s="277" t="s">
        <v>230</v>
      </c>
      <c r="B1121" s="150" t="s">
        <v>1898</v>
      </c>
      <c r="C1121" s="126" t="s">
        <v>1899</v>
      </c>
      <c r="D1121" s="75" t="s">
        <v>1885</v>
      </c>
    </row>
    <row r="1122" spans="1:4" ht="12" customHeight="1">
      <c r="A1122" s="277" t="s">
        <v>230</v>
      </c>
      <c r="B1122" s="97" t="s">
        <v>1900</v>
      </c>
      <c r="C1122" s="97" t="s">
        <v>1901</v>
      </c>
      <c r="D1122" s="75" t="s">
        <v>1885</v>
      </c>
    </row>
    <row r="1123" spans="1:4" ht="12" customHeight="1">
      <c r="A1123" s="277" t="s">
        <v>230</v>
      </c>
      <c r="B1123" s="97" t="s">
        <v>1902</v>
      </c>
      <c r="C1123" s="97" t="s">
        <v>1903</v>
      </c>
      <c r="D1123" s="75" t="s">
        <v>1885</v>
      </c>
    </row>
    <row r="1124" spans="1:4" ht="12" customHeight="1">
      <c r="A1124" s="277" t="s">
        <v>230</v>
      </c>
      <c r="B1124" s="208" t="s">
        <v>1904</v>
      </c>
      <c r="C1124" s="126" t="s">
        <v>1905</v>
      </c>
      <c r="D1124" s="75" t="s">
        <v>714</v>
      </c>
    </row>
    <row r="1125" spans="1:4" ht="12" customHeight="1">
      <c r="A1125" s="277" t="s">
        <v>230</v>
      </c>
      <c r="B1125" s="278" t="s">
        <v>1906</v>
      </c>
      <c r="C1125" s="279" t="s">
        <v>1907</v>
      </c>
      <c r="D1125" s="75" t="s">
        <v>714</v>
      </c>
    </row>
    <row r="1126" spans="1:4" ht="12" customHeight="1">
      <c r="A1126" s="277" t="s">
        <v>230</v>
      </c>
      <c r="B1126" s="280" t="s">
        <v>1908</v>
      </c>
      <c r="C1126" s="279" t="s">
        <v>1909</v>
      </c>
      <c r="D1126" s="75" t="s">
        <v>714</v>
      </c>
    </row>
    <row r="1127" spans="1:4" ht="12" customHeight="1">
      <c r="A1127" s="277" t="s">
        <v>230</v>
      </c>
      <c r="B1127" s="218" t="s">
        <v>1910</v>
      </c>
      <c r="C1127" s="126" t="s">
        <v>1911</v>
      </c>
      <c r="D1127" s="75" t="s">
        <v>714</v>
      </c>
    </row>
    <row r="1128" spans="1:4" ht="12" customHeight="1">
      <c r="A1128" s="277" t="s">
        <v>230</v>
      </c>
      <c r="B1128" s="218" t="s">
        <v>1912</v>
      </c>
      <c r="C1128" s="126" t="s">
        <v>1913</v>
      </c>
      <c r="D1128" s="75" t="s">
        <v>714</v>
      </c>
    </row>
    <row r="1129" spans="1:4" ht="12" customHeight="1">
      <c r="A1129" s="277" t="s">
        <v>230</v>
      </c>
      <c r="B1129" s="218" t="s">
        <v>1914</v>
      </c>
      <c r="C1129" s="126" t="s">
        <v>1915</v>
      </c>
      <c r="D1129" s="75" t="s">
        <v>714</v>
      </c>
    </row>
    <row r="1130" spans="1:4" ht="12" customHeight="1">
      <c r="A1130" s="192" t="s">
        <v>234</v>
      </c>
      <c r="B1130" s="174"/>
      <c r="C1130" s="121" t="s">
        <v>1916</v>
      </c>
      <c r="D1130" s="75"/>
    </row>
    <row r="1131" spans="1:4" ht="12" customHeight="1">
      <c r="A1131" s="192" t="s">
        <v>234</v>
      </c>
      <c r="B1131" s="228" t="s">
        <v>1917</v>
      </c>
      <c r="C1131" s="279" t="s">
        <v>1918</v>
      </c>
      <c r="D1131" s="100" t="s">
        <v>1919</v>
      </c>
    </row>
    <row r="1132" spans="1:4" ht="12" customHeight="1">
      <c r="A1132" s="192" t="s">
        <v>234</v>
      </c>
      <c r="B1132" s="280" t="s">
        <v>1920</v>
      </c>
      <c r="C1132" s="229" t="s">
        <v>1921</v>
      </c>
      <c r="D1132" s="100" t="s">
        <v>1922</v>
      </c>
    </row>
    <row r="1133" spans="1:4" ht="12" customHeight="1">
      <c r="A1133" s="192" t="s">
        <v>234</v>
      </c>
      <c r="B1133" s="97" t="s">
        <v>1923</v>
      </c>
      <c r="C1133" s="97" t="s">
        <v>1924</v>
      </c>
      <c r="D1133" s="100" t="s">
        <v>1919</v>
      </c>
    </row>
    <row r="1134" spans="1:4" ht="12" customHeight="1">
      <c r="A1134" s="192" t="s">
        <v>234</v>
      </c>
      <c r="B1134" s="97" t="s">
        <v>1925</v>
      </c>
      <c r="C1134" s="97" t="s">
        <v>1926</v>
      </c>
      <c r="D1134" s="100" t="s">
        <v>1922</v>
      </c>
    </row>
    <row r="1135" spans="1:4" ht="12" customHeight="1">
      <c r="A1135" s="192" t="s">
        <v>234</v>
      </c>
      <c r="B1135" s="97" t="s">
        <v>1927</v>
      </c>
      <c r="C1135" s="97" t="s">
        <v>1928</v>
      </c>
      <c r="D1135" s="100" t="s">
        <v>1922</v>
      </c>
    </row>
    <row r="1136" spans="1:4" ht="12" customHeight="1">
      <c r="A1136" s="192" t="s">
        <v>234</v>
      </c>
      <c r="B1136" s="228" t="s">
        <v>1929</v>
      </c>
      <c r="C1136" s="186" t="s">
        <v>1930</v>
      </c>
      <c r="D1136" s="75" t="s">
        <v>714</v>
      </c>
    </row>
    <row r="1137" spans="1:4" ht="12" customHeight="1">
      <c r="A1137" s="192" t="s">
        <v>234</v>
      </c>
      <c r="B1137" s="97" t="s">
        <v>1931</v>
      </c>
      <c r="C1137" s="97" t="s">
        <v>1932</v>
      </c>
      <c r="D1137" s="100" t="s">
        <v>302</v>
      </c>
    </row>
    <row r="1138" spans="1:4" ht="12" customHeight="1">
      <c r="A1138" s="192" t="s">
        <v>234</v>
      </c>
      <c r="B1138" s="97" t="s">
        <v>1933</v>
      </c>
      <c r="C1138" s="186" t="s">
        <v>1934</v>
      </c>
      <c r="D1138" s="75" t="s">
        <v>714</v>
      </c>
    </row>
    <row r="1139" spans="1:4" ht="12" customHeight="1">
      <c r="A1139" s="110">
        <v>36</v>
      </c>
      <c r="B1139" s="192"/>
      <c r="C1139" s="121" t="s">
        <v>1935</v>
      </c>
      <c r="D1139" s="75"/>
    </row>
    <row r="1140" spans="1:4" ht="12" customHeight="1">
      <c r="A1140" s="110">
        <v>36</v>
      </c>
      <c r="B1140" s="119" t="s">
        <v>1936</v>
      </c>
      <c r="C1140" s="126" t="s">
        <v>1937</v>
      </c>
      <c r="D1140" s="75" t="s">
        <v>346</v>
      </c>
    </row>
    <row r="1141" spans="1:4" ht="12" customHeight="1">
      <c r="A1141" s="110">
        <v>36</v>
      </c>
      <c r="B1141" s="119" t="s">
        <v>1938</v>
      </c>
      <c r="C1141" s="126" t="s">
        <v>1939</v>
      </c>
      <c r="D1141" s="75" t="s">
        <v>346</v>
      </c>
    </row>
    <row r="1142" spans="1:4" ht="12" customHeight="1">
      <c r="A1142" s="110">
        <v>36</v>
      </c>
      <c r="B1142" s="150" t="s">
        <v>1940</v>
      </c>
      <c r="C1142" s="126" t="s">
        <v>1941</v>
      </c>
      <c r="D1142" s="75" t="s">
        <v>714</v>
      </c>
    </row>
    <row r="1143" spans="1:4" ht="12" customHeight="1">
      <c r="A1143" s="110">
        <v>36</v>
      </c>
      <c r="B1143" s="150" t="s">
        <v>1942</v>
      </c>
      <c r="C1143" s="126" t="s">
        <v>1943</v>
      </c>
      <c r="D1143" s="75" t="s">
        <v>714</v>
      </c>
    </row>
    <row r="1144" spans="1:4" ht="12" customHeight="1">
      <c r="A1144" s="110">
        <v>36</v>
      </c>
      <c r="B1144" s="150" t="s">
        <v>1944</v>
      </c>
      <c r="C1144" s="126" t="s">
        <v>1945</v>
      </c>
      <c r="D1144" s="75" t="s">
        <v>714</v>
      </c>
    </row>
    <row r="1145" spans="1:4" ht="12" customHeight="1">
      <c r="A1145" s="110">
        <v>36</v>
      </c>
      <c r="B1145" s="150" t="s">
        <v>1946</v>
      </c>
      <c r="C1145" s="126" t="s">
        <v>1947</v>
      </c>
      <c r="D1145" s="75" t="s">
        <v>714</v>
      </c>
    </row>
    <row r="1146" spans="1:4" ht="12" customHeight="1">
      <c r="A1146" s="110">
        <v>36</v>
      </c>
      <c r="B1146" s="150" t="s">
        <v>1948</v>
      </c>
      <c r="C1146" s="126" t="s">
        <v>1949</v>
      </c>
      <c r="D1146" s="75" t="s">
        <v>714</v>
      </c>
    </row>
    <row r="1147" spans="1:4" ht="12" customHeight="1">
      <c r="A1147" s="110">
        <v>36</v>
      </c>
      <c r="B1147" s="150" t="s">
        <v>1950</v>
      </c>
      <c r="C1147" s="126" t="s">
        <v>1951</v>
      </c>
      <c r="D1147" s="75" t="s">
        <v>714</v>
      </c>
    </row>
    <row r="1148" spans="1:4" ht="12" customHeight="1">
      <c r="A1148" s="110">
        <v>36</v>
      </c>
      <c r="B1148" s="97" t="s">
        <v>1952</v>
      </c>
      <c r="C1148" s="97" t="s">
        <v>1953</v>
      </c>
      <c r="D1148" s="75" t="s">
        <v>714</v>
      </c>
    </row>
    <row r="1149" spans="1:4" ht="12" customHeight="1">
      <c r="A1149" s="110">
        <v>37</v>
      </c>
      <c r="B1149" s="119"/>
      <c r="C1149" s="121" t="s">
        <v>1954</v>
      </c>
      <c r="D1149" s="75" t="s">
        <v>714</v>
      </c>
    </row>
    <row r="1150" spans="1:4" ht="12" customHeight="1">
      <c r="A1150" s="110">
        <v>37</v>
      </c>
      <c r="B1150" s="150" t="s">
        <v>1955</v>
      </c>
      <c r="C1150" s="270" t="s">
        <v>1956</v>
      </c>
      <c r="D1150" s="75" t="s">
        <v>714</v>
      </c>
    </row>
    <row r="1151" spans="1:4" ht="12" customHeight="1">
      <c r="A1151" s="110">
        <v>37</v>
      </c>
      <c r="B1151" s="150" t="s">
        <v>1957</v>
      </c>
      <c r="C1151" s="126" t="s">
        <v>1958</v>
      </c>
      <c r="D1151" s="75" t="s">
        <v>714</v>
      </c>
    </row>
    <row r="1152" spans="1:4" ht="12" customHeight="1">
      <c r="A1152" s="110">
        <v>37</v>
      </c>
      <c r="B1152" s="150" t="s">
        <v>1959</v>
      </c>
      <c r="C1152" s="201" t="s">
        <v>1960</v>
      </c>
      <c r="D1152" s="75" t="s">
        <v>714</v>
      </c>
    </row>
    <row r="1153" spans="1:4" ht="12" customHeight="1">
      <c r="A1153" s="110">
        <v>37</v>
      </c>
      <c r="B1153" s="150" t="s">
        <v>1961</v>
      </c>
      <c r="C1153" s="126" t="s">
        <v>1962</v>
      </c>
      <c r="D1153" s="75" t="s">
        <v>714</v>
      </c>
    </row>
    <row r="1154" spans="1:4" ht="12" customHeight="1">
      <c r="A1154" s="110">
        <v>37</v>
      </c>
      <c r="B1154" s="150" t="s">
        <v>1963</v>
      </c>
      <c r="C1154" s="126" t="s">
        <v>1964</v>
      </c>
      <c r="D1154" s="75" t="s">
        <v>714</v>
      </c>
    </row>
    <row r="1155" spans="1:4" ht="12" customHeight="1">
      <c r="A1155" s="110">
        <v>37</v>
      </c>
      <c r="B1155" s="97" t="s">
        <v>1965</v>
      </c>
      <c r="C1155" s="126" t="s">
        <v>1966</v>
      </c>
      <c r="D1155" s="75" t="s">
        <v>714</v>
      </c>
    </row>
    <row r="1156" spans="1:4" ht="12" customHeight="1">
      <c r="A1156" s="110">
        <v>37</v>
      </c>
      <c r="B1156" s="97" t="s">
        <v>1967</v>
      </c>
      <c r="C1156" s="97" t="s">
        <v>1968</v>
      </c>
      <c r="D1156" s="75" t="s">
        <v>714</v>
      </c>
    </row>
    <row r="1157" spans="1:4" ht="12" customHeight="1">
      <c r="A1157" s="110">
        <v>38</v>
      </c>
      <c r="B1157" s="192"/>
      <c r="C1157" s="121" t="s">
        <v>1969</v>
      </c>
      <c r="D1157" s="75"/>
    </row>
    <row r="1158" spans="1:4" ht="24.75">
      <c r="A1158" s="110">
        <v>38</v>
      </c>
      <c r="B1158" s="119" t="s">
        <v>1970</v>
      </c>
      <c r="C1158" s="126" t="s">
        <v>1971</v>
      </c>
      <c r="D1158" s="84" t="s">
        <v>714</v>
      </c>
    </row>
    <row r="1159" spans="1:4" ht="12" customHeight="1">
      <c r="A1159" s="110">
        <v>38</v>
      </c>
      <c r="B1159" s="119" t="s">
        <v>1972</v>
      </c>
      <c r="C1159" s="126" t="s">
        <v>2140</v>
      </c>
      <c r="D1159" s="84" t="s">
        <v>714</v>
      </c>
    </row>
    <row r="1160" spans="1:4" ht="12" customHeight="1">
      <c r="A1160" s="111">
        <v>38</v>
      </c>
      <c r="B1160" s="97" t="s">
        <v>1973</v>
      </c>
      <c r="C1160" s="97" t="s">
        <v>1974</v>
      </c>
      <c r="D1160" s="84" t="s">
        <v>714</v>
      </c>
    </row>
    <row r="1161" spans="1:4" ht="12" customHeight="1">
      <c r="A1161" s="111">
        <v>38</v>
      </c>
      <c r="B1161" s="97" t="s">
        <v>1975</v>
      </c>
      <c r="C1161" s="97" t="s">
        <v>1976</v>
      </c>
      <c r="D1161" s="84" t="s">
        <v>714</v>
      </c>
    </row>
    <row r="1162" spans="1:4" ht="12" customHeight="1">
      <c r="A1162" s="111">
        <v>38</v>
      </c>
      <c r="B1162" s="97" t="s">
        <v>1977</v>
      </c>
      <c r="C1162" s="97" t="s">
        <v>1978</v>
      </c>
      <c r="D1162" s="84" t="s">
        <v>714</v>
      </c>
    </row>
    <row r="1163" spans="1:4" ht="12" customHeight="1">
      <c r="A1163" s="111">
        <v>38</v>
      </c>
      <c r="B1163" s="97" t="s">
        <v>1979</v>
      </c>
      <c r="C1163" s="97" t="s">
        <v>1980</v>
      </c>
      <c r="D1163" s="84" t="s">
        <v>714</v>
      </c>
    </row>
    <row r="1164" spans="1:4" ht="12" customHeight="1">
      <c r="A1164" s="111">
        <v>38</v>
      </c>
      <c r="B1164" s="97" t="s">
        <v>1981</v>
      </c>
      <c r="C1164" s="97" t="s">
        <v>1982</v>
      </c>
      <c r="D1164" s="84" t="s">
        <v>714</v>
      </c>
    </row>
    <row r="1165" spans="1:4" ht="12" customHeight="1">
      <c r="A1165" s="111">
        <v>38</v>
      </c>
      <c r="B1165" s="97" t="s">
        <v>1983</v>
      </c>
      <c r="C1165" s="97" t="s">
        <v>1984</v>
      </c>
      <c r="D1165" s="84" t="s">
        <v>714</v>
      </c>
    </row>
    <row r="1166" spans="1:4" ht="12" customHeight="1">
      <c r="A1166" s="111">
        <v>38</v>
      </c>
      <c r="B1166" s="97" t="s">
        <v>1985</v>
      </c>
      <c r="C1166" s="97" t="s">
        <v>1986</v>
      </c>
      <c r="D1166" s="84" t="s">
        <v>714</v>
      </c>
    </row>
    <row r="1167" spans="1:4" ht="12" customHeight="1">
      <c r="A1167" s="111">
        <v>38</v>
      </c>
      <c r="B1167" s="97" t="s">
        <v>1987</v>
      </c>
      <c r="C1167" s="97" t="s">
        <v>1988</v>
      </c>
      <c r="D1167" s="84" t="s">
        <v>714</v>
      </c>
    </row>
    <row r="1168" spans="1:4" ht="12" customHeight="1">
      <c r="A1168" s="232">
        <v>39</v>
      </c>
      <c r="B1168" s="186"/>
      <c r="C1168" s="233" t="s">
        <v>1989</v>
      </c>
      <c r="D1168" s="84" t="s">
        <v>714</v>
      </c>
    </row>
    <row r="1169" spans="1:4" ht="12" customHeight="1">
      <c r="A1169" s="232">
        <v>39</v>
      </c>
      <c r="B1169" s="97" t="s">
        <v>1990</v>
      </c>
      <c r="C1169" s="97" t="s">
        <v>1991</v>
      </c>
      <c r="D1169" s="84" t="s">
        <v>714</v>
      </c>
    </row>
    <row r="1170" spans="1:4" ht="24.75">
      <c r="A1170" s="232">
        <v>39</v>
      </c>
      <c r="B1170" s="97" t="s">
        <v>1992</v>
      </c>
      <c r="C1170" s="97" t="s">
        <v>1993</v>
      </c>
      <c r="D1170" s="84" t="s">
        <v>714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92"/>
  <sheetViews>
    <sheetView topLeftCell="A51" workbookViewId="0">
      <selection activeCell="A67" sqref="A67"/>
    </sheetView>
  </sheetViews>
  <sheetFormatPr defaultRowHeight="15"/>
  <cols>
    <col min="1" max="1" width="84.85546875" customWidth="1"/>
  </cols>
  <sheetData>
    <row r="1" spans="1:2">
      <c r="A1" s="30" t="s">
        <v>72</v>
      </c>
      <c r="B1" s="68" t="s">
        <v>71</v>
      </c>
    </row>
    <row r="2" spans="1:2">
      <c r="A2" s="31" t="s">
        <v>74</v>
      </c>
      <c r="B2" s="68" t="s">
        <v>73</v>
      </c>
    </row>
    <row r="3" spans="1:2">
      <c r="A3" s="30" t="s">
        <v>75</v>
      </c>
      <c r="B3" s="68" t="s">
        <v>39</v>
      </c>
    </row>
    <row r="4" spans="1:2">
      <c r="A4" s="30" t="s">
        <v>77</v>
      </c>
      <c r="B4" s="68" t="s">
        <v>76</v>
      </c>
    </row>
    <row r="5" spans="1:2">
      <c r="A5" s="30" t="s">
        <v>79</v>
      </c>
      <c r="B5" s="68" t="s">
        <v>78</v>
      </c>
    </row>
    <row r="6" spans="1:2">
      <c r="A6" s="30" t="s">
        <v>81</v>
      </c>
      <c r="B6" s="68" t="s">
        <v>80</v>
      </c>
    </row>
    <row r="7" spans="1:2">
      <c r="A7" s="30" t="s">
        <v>334</v>
      </c>
      <c r="B7" s="68" t="s">
        <v>82</v>
      </c>
    </row>
    <row r="8" spans="1:2">
      <c r="A8" s="30" t="s">
        <v>84</v>
      </c>
      <c r="B8" s="68" t="s">
        <v>83</v>
      </c>
    </row>
    <row r="9" spans="1:2">
      <c r="A9" s="23" t="s">
        <v>86</v>
      </c>
      <c r="B9" s="68" t="s">
        <v>85</v>
      </c>
    </row>
    <row r="10" spans="1:2">
      <c r="A10" s="30" t="s">
        <v>2146</v>
      </c>
      <c r="B10" s="68" t="s">
        <v>87</v>
      </c>
    </row>
    <row r="11" spans="1:2">
      <c r="A11" s="30" t="s">
        <v>89</v>
      </c>
      <c r="B11" s="68" t="s">
        <v>88</v>
      </c>
    </row>
    <row r="12" spans="1:2">
      <c r="A12" s="32" t="s">
        <v>91</v>
      </c>
      <c r="B12" s="68" t="s">
        <v>90</v>
      </c>
    </row>
    <row r="13" spans="1:2">
      <c r="A13" s="30" t="s">
        <v>92</v>
      </c>
      <c r="B13" s="69">
        <v>11</v>
      </c>
    </row>
    <row r="14" spans="1:2">
      <c r="A14" s="30" t="s">
        <v>94</v>
      </c>
      <c r="B14" s="68" t="s">
        <v>93</v>
      </c>
    </row>
    <row r="15" spans="1:2">
      <c r="A15" s="30" t="s">
        <v>96</v>
      </c>
      <c r="B15" s="68" t="s">
        <v>95</v>
      </c>
    </row>
    <row r="16" spans="1:2">
      <c r="A16" s="30" t="s">
        <v>98</v>
      </c>
      <c r="B16" s="68" t="s">
        <v>97</v>
      </c>
    </row>
    <row r="17" spans="1:2">
      <c r="A17" s="30" t="s">
        <v>100</v>
      </c>
      <c r="B17" s="68" t="s">
        <v>99</v>
      </c>
    </row>
    <row r="18" spans="1:2">
      <c r="A18" s="30" t="s">
        <v>102</v>
      </c>
      <c r="B18" s="68" t="s">
        <v>101</v>
      </c>
    </row>
    <row r="19" spans="1:2">
      <c r="A19" s="30" t="s">
        <v>104</v>
      </c>
      <c r="B19" s="68" t="s">
        <v>103</v>
      </c>
    </row>
    <row r="20" spans="1:2">
      <c r="A20" s="30" t="s">
        <v>106</v>
      </c>
      <c r="B20" s="68" t="s">
        <v>105</v>
      </c>
    </row>
    <row r="21" spans="1:2">
      <c r="A21" s="30" t="s">
        <v>108</v>
      </c>
      <c r="B21" s="68" t="s">
        <v>107</v>
      </c>
    </row>
    <row r="22" spans="1:2">
      <c r="A22" s="30" t="s">
        <v>110</v>
      </c>
      <c r="B22" s="68" t="s">
        <v>109</v>
      </c>
    </row>
    <row r="23" spans="1:2">
      <c r="A23" s="30" t="s">
        <v>112</v>
      </c>
      <c r="B23" s="68" t="s">
        <v>111</v>
      </c>
    </row>
    <row r="24" spans="1:2">
      <c r="A24" s="30" t="s">
        <v>300</v>
      </c>
      <c r="B24" s="69" t="s">
        <v>113</v>
      </c>
    </row>
    <row r="25" spans="1:2">
      <c r="A25" s="30" t="s">
        <v>115</v>
      </c>
      <c r="B25" s="69" t="s">
        <v>114</v>
      </c>
    </row>
    <row r="26" spans="1:2">
      <c r="A26" s="30" t="s">
        <v>117</v>
      </c>
      <c r="B26" s="69" t="s">
        <v>116</v>
      </c>
    </row>
    <row r="27" spans="1:2">
      <c r="A27" s="30" t="s">
        <v>119</v>
      </c>
      <c r="B27" s="69" t="s">
        <v>118</v>
      </c>
    </row>
    <row r="28" spans="1:2">
      <c r="A28" s="30" t="s">
        <v>121</v>
      </c>
      <c r="B28" s="69" t="s">
        <v>120</v>
      </c>
    </row>
    <row r="29" spans="1:2">
      <c r="A29" s="30" t="s">
        <v>123</v>
      </c>
      <c r="B29" s="69" t="s">
        <v>122</v>
      </c>
    </row>
    <row r="30" spans="1:2">
      <c r="A30" s="30" t="s">
        <v>125</v>
      </c>
      <c r="B30" s="69" t="s">
        <v>124</v>
      </c>
    </row>
    <row r="31" spans="1:2">
      <c r="A31" s="30" t="s">
        <v>127</v>
      </c>
      <c r="B31" s="69" t="s">
        <v>126</v>
      </c>
    </row>
    <row r="32" spans="1:2">
      <c r="A32" s="30" t="s">
        <v>129</v>
      </c>
      <c r="B32" s="69" t="s">
        <v>128</v>
      </c>
    </row>
    <row r="33" spans="1:2">
      <c r="A33" s="30" t="s">
        <v>335</v>
      </c>
      <c r="B33" s="69" t="s">
        <v>130</v>
      </c>
    </row>
    <row r="34" spans="1:2">
      <c r="A34" s="30" t="s">
        <v>132</v>
      </c>
      <c r="B34" s="69" t="s">
        <v>131</v>
      </c>
    </row>
    <row r="35" spans="1:2">
      <c r="A35" s="30" t="s">
        <v>134</v>
      </c>
      <c r="B35" s="69" t="s">
        <v>133</v>
      </c>
    </row>
    <row r="36" spans="1:2">
      <c r="A36" s="30" t="s">
        <v>136</v>
      </c>
      <c r="B36" s="69" t="s">
        <v>135</v>
      </c>
    </row>
    <row r="37" spans="1:2">
      <c r="A37" s="30" t="s">
        <v>138</v>
      </c>
      <c r="B37" s="69" t="s">
        <v>137</v>
      </c>
    </row>
    <row r="38" spans="1:2">
      <c r="A38" s="30" t="s">
        <v>140</v>
      </c>
      <c r="B38" s="69" t="s">
        <v>139</v>
      </c>
    </row>
    <row r="39" spans="1:2">
      <c r="A39" s="30" t="s">
        <v>142</v>
      </c>
      <c r="B39" s="69" t="s">
        <v>141</v>
      </c>
    </row>
    <row r="40" spans="1:2">
      <c r="A40" s="30" t="s">
        <v>144</v>
      </c>
      <c r="B40" s="69" t="s">
        <v>143</v>
      </c>
    </row>
    <row r="41" spans="1:2">
      <c r="A41" s="30" t="s">
        <v>146</v>
      </c>
      <c r="B41" s="69" t="s">
        <v>145</v>
      </c>
    </row>
    <row r="42" spans="1:2">
      <c r="A42" s="30" t="s">
        <v>148</v>
      </c>
      <c r="B42" s="69" t="s">
        <v>147</v>
      </c>
    </row>
    <row r="43" spans="1:2">
      <c r="A43" s="30" t="s">
        <v>150</v>
      </c>
      <c r="B43" s="69" t="s">
        <v>149</v>
      </c>
    </row>
    <row r="44" spans="1:2">
      <c r="A44" s="30" t="s">
        <v>152</v>
      </c>
      <c r="B44" s="69" t="s">
        <v>151</v>
      </c>
    </row>
    <row r="45" spans="1:2">
      <c r="A45" s="30" t="s">
        <v>154</v>
      </c>
      <c r="B45" s="69" t="s">
        <v>153</v>
      </c>
    </row>
    <row r="46" spans="1:2">
      <c r="A46" s="30" t="s">
        <v>156</v>
      </c>
      <c r="B46" s="69" t="s">
        <v>155</v>
      </c>
    </row>
    <row r="47" spans="1:2">
      <c r="A47" s="30" t="s">
        <v>158</v>
      </c>
      <c r="B47" s="69" t="s">
        <v>157</v>
      </c>
    </row>
    <row r="48" spans="1:2">
      <c r="A48" s="30" t="s">
        <v>160</v>
      </c>
      <c r="B48" s="69" t="s">
        <v>159</v>
      </c>
    </row>
    <row r="49" spans="1:2">
      <c r="A49" s="30" t="s">
        <v>162</v>
      </c>
      <c r="B49" s="69" t="s">
        <v>161</v>
      </c>
    </row>
    <row r="50" spans="1:2">
      <c r="A50" s="30" t="s">
        <v>164</v>
      </c>
      <c r="B50" s="69" t="s">
        <v>163</v>
      </c>
    </row>
    <row r="51" spans="1:2">
      <c r="A51" s="30" t="s">
        <v>166</v>
      </c>
      <c r="B51" s="69" t="s">
        <v>165</v>
      </c>
    </row>
    <row r="52" spans="1:2">
      <c r="A52" s="30" t="s">
        <v>168</v>
      </c>
      <c r="B52" s="69" t="s">
        <v>167</v>
      </c>
    </row>
    <row r="53" spans="1:2">
      <c r="A53" s="30" t="s">
        <v>170</v>
      </c>
      <c r="B53" s="69" t="s">
        <v>169</v>
      </c>
    </row>
    <row r="54" spans="1:2">
      <c r="A54" s="30" t="s">
        <v>172</v>
      </c>
      <c r="B54" s="69" t="s">
        <v>171</v>
      </c>
    </row>
    <row r="55" spans="1:2">
      <c r="A55" s="30" t="s">
        <v>174</v>
      </c>
      <c r="B55" s="69" t="s">
        <v>173</v>
      </c>
    </row>
    <row r="56" spans="1:2">
      <c r="A56" s="30" t="s">
        <v>176</v>
      </c>
      <c r="B56" s="69" t="s">
        <v>175</v>
      </c>
    </row>
    <row r="57" spans="1:2">
      <c r="A57" s="30" t="s">
        <v>178</v>
      </c>
      <c r="B57" s="69" t="s">
        <v>177</v>
      </c>
    </row>
    <row r="58" spans="1:2">
      <c r="A58" s="30" t="s">
        <v>180</v>
      </c>
      <c r="B58" s="69" t="s">
        <v>179</v>
      </c>
    </row>
    <row r="59" spans="1:2">
      <c r="A59" s="30" t="s">
        <v>182</v>
      </c>
      <c r="B59" s="69" t="s">
        <v>181</v>
      </c>
    </row>
    <row r="60" spans="1:2">
      <c r="A60" s="30" t="s">
        <v>184</v>
      </c>
      <c r="B60" s="69" t="s">
        <v>183</v>
      </c>
    </row>
    <row r="61" spans="1:2">
      <c r="A61" s="30" t="s">
        <v>186</v>
      </c>
      <c r="B61" s="69" t="s">
        <v>185</v>
      </c>
    </row>
    <row r="62" spans="1:2">
      <c r="A62" s="30" t="s">
        <v>188</v>
      </c>
      <c r="B62" s="69" t="s">
        <v>187</v>
      </c>
    </row>
    <row r="63" spans="1:2">
      <c r="A63" s="30" t="s">
        <v>190</v>
      </c>
      <c r="B63" s="69" t="s">
        <v>189</v>
      </c>
    </row>
    <row r="64" spans="1:2">
      <c r="A64" s="30" t="s">
        <v>192</v>
      </c>
      <c r="B64" s="69" t="s">
        <v>191</v>
      </c>
    </row>
    <row r="65" spans="1:2">
      <c r="A65" s="30" t="s">
        <v>2183</v>
      </c>
      <c r="B65" s="69" t="s">
        <v>193</v>
      </c>
    </row>
    <row r="66" spans="1:2">
      <c r="A66" s="30" t="s">
        <v>195</v>
      </c>
      <c r="B66" s="69" t="s">
        <v>194</v>
      </c>
    </row>
    <row r="67" spans="1:2">
      <c r="A67" s="30" t="s">
        <v>2173</v>
      </c>
      <c r="B67" s="69" t="s">
        <v>196</v>
      </c>
    </row>
    <row r="68" spans="1:2">
      <c r="A68" s="30" t="s">
        <v>198</v>
      </c>
      <c r="B68" s="69" t="s">
        <v>197</v>
      </c>
    </row>
    <row r="69" spans="1:2">
      <c r="A69" s="30" t="s">
        <v>200</v>
      </c>
      <c r="B69" s="69" t="s">
        <v>199</v>
      </c>
    </row>
    <row r="70" spans="1:2">
      <c r="A70" s="30" t="s">
        <v>202</v>
      </c>
      <c r="B70" s="69" t="s">
        <v>201</v>
      </c>
    </row>
    <row r="71" spans="1:2">
      <c r="A71" s="30" t="s">
        <v>204</v>
      </c>
      <c r="B71" s="69" t="s">
        <v>203</v>
      </c>
    </row>
    <row r="72" spans="1:2">
      <c r="A72" s="30" t="s">
        <v>206</v>
      </c>
      <c r="B72" s="69" t="s">
        <v>205</v>
      </c>
    </row>
    <row r="73" spans="1:2">
      <c r="A73" s="30" t="s">
        <v>208</v>
      </c>
      <c r="B73" s="69" t="s">
        <v>207</v>
      </c>
    </row>
    <row r="74" spans="1:2">
      <c r="A74" s="30" t="s">
        <v>336</v>
      </c>
      <c r="B74" s="69" t="s">
        <v>209</v>
      </c>
    </row>
    <row r="75" spans="1:2">
      <c r="A75" s="30" t="s">
        <v>211</v>
      </c>
      <c r="B75" s="69" t="s">
        <v>210</v>
      </c>
    </row>
    <row r="76" spans="1:2">
      <c r="A76" s="30" t="s">
        <v>212</v>
      </c>
      <c r="B76" s="69">
        <v>30</v>
      </c>
    </row>
    <row r="77" spans="1:2">
      <c r="A77" s="30" t="s">
        <v>213</v>
      </c>
      <c r="B77" s="69">
        <v>31</v>
      </c>
    </row>
    <row r="78" spans="1:2">
      <c r="A78" s="30" t="s">
        <v>215</v>
      </c>
      <c r="B78" s="69" t="s">
        <v>214</v>
      </c>
    </row>
    <row r="79" spans="1:2">
      <c r="A79" s="30" t="s">
        <v>217</v>
      </c>
      <c r="B79" s="69" t="s">
        <v>216</v>
      </c>
    </row>
    <row r="80" spans="1:2">
      <c r="A80" s="30" t="s">
        <v>219</v>
      </c>
      <c r="B80" s="69" t="s">
        <v>218</v>
      </c>
    </row>
    <row r="81" spans="1:2">
      <c r="A81" s="30" t="s">
        <v>221</v>
      </c>
      <c r="B81" s="69" t="s">
        <v>220</v>
      </c>
    </row>
    <row r="82" spans="1:2">
      <c r="A82" s="30" t="s">
        <v>223</v>
      </c>
      <c r="B82" s="69" t="s">
        <v>222</v>
      </c>
    </row>
    <row r="83" spans="1:2">
      <c r="A83" s="30" t="s">
        <v>225</v>
      </c>
      <c r="B83" s="69" t="s">
        <v>224</v>
      </c>
    </row>
    <row r="84" spans="1:2">
      <c r="A84" s="30" t="s">
        <v>227</v>
      </c>
      <c r="B84" s="69" t="s">
        <v>226</v>
      </c>
    </row>
    <row r="85" spans="1:2">
      <c r="A85" s="30" t="s">
        <v>229</v>
      </c>
      <c r="B85" s="69" t="s">
        <v>228</v>
      </c>
    </row>
    <row r="86" spans="1:2">
      <c r="A86" s="30" t="s">
        <v>231</v>
      </c>
      <c r="B86" s="69" t="s">
        <v>230</v>
      </c>
    </row>
    <row r="87" spans="1:2">
      <c r="A87" s="30" t="s">
        <v>233</v>
      </c>
      <c r="B87" s="69" t="s">
        <v>232</v>
      </c>
    </row>
    <row r="88" spans="1:2">
      <c r="A88" s="30" t="s">
        <v>235</v>
      </c>
      <c r="B88" s="69" t="s">
        <v>234</v>
      </c>
    </row>
    <row r="89" spans="1:2">
      <c r="A89" s="30" t="s">
        <v>337</v>
      </c>
      <c r="B89" s="33">
        <v>36</v>
      </c>
    </row>
    <row r="90" spans="1:2">
      <c r="A90" s="30" t="s">
        <v>338</v>
      </c>
      <c r="B90" s="33">
        <v>37</v>
      </c>
    </row>
    <row r="91" spans="1:2">
      <c r="A91" s="30" t="s">
        <v>339</v>
      </c>
      <c r="B91" s="33">
        <v>38</v>
      </c>
    </row>
    <row r="92" spans="1:2">
      <c r="A92" s="30" t="s">
        <v>340</v>
      </c>
      <c r="B92" s="33">
        <v>39</v>
      </c>
    </row>
  </sheetData>
  <sheetProtection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50</vt:i4>
      </vt:variant>
    </vt:vector>
  </HeadingPairs>
  <TitlesOfParts>
    <vt:vector size="57" baseType="lpstr">
      <vt:lpstr>Технический</vt:lpstr>
      <vt:lpstr>Титульный</vt:lpstr>
      <vt:lpstr>Реквизиты</vt:lpstr>
      <vt:lpstr>Раздел 1 и 2</vt:lpstr>
      <vt:lpstr>Раздел 3</vt:lpstr>
      <vt:lpstr>Виды продукции</vt:lpstr>
      <vt:lpstr>КВЭД</vt:lpstr>
      <vt:lpstr>'Виды продукции'!sub_107111190</vt:lpstr>
      <vt:lpstr>XlReportValidationSecondValuesTypes</vt:lpstr>
      <vt:lpstr>'Раздел 1 и 2'!XMLTAG_ReportSheetValidating_SNRN_4_SFRQ_5_SLRQ_1_TTRRN_5</vt:lpstr>
      <vt:lpstr>XMLTAG_Раздел1и2_ЗаОтчетныйМесяцПостр_01</vt:lpstr>
      <vt:lpstr>XMLTAG_Раздел1и2_ЗаОтчетныйМесяцПостр_02</vt:lpstr>
      <vt:lpstr>XMLTAG_Раздел1и2_ЗаОтчетныйМесяцПостр_05</vt:lpstr>
      <vt:lpstr>XMLTAG_Раздел1и2_ЗаОтчетныйМесяцПостр_06</vt:lpstr>
      <vt:lpstr>XMLTAG_Раздел1и2_ЗаОтчетныйМесяцПостр_09</vt:lpstr>
      <vt:lpstr>XMLTAG_Раздел1и2_ЗаПредыдущийМесяцПостр_01</vt:lpstr>
      <vt:lpstr>XMLTAG_Раздел1и2_ЗаПредыдущийМесяцПостр_02</vt:lpstr>
      <vt:lpstr>XMLTAG_Раздел1и2_ЗаПредыдущийМесяцПостр_05</vt:lpstr>
      <vt:lpstr>XMLTAG_Раздел1и2_ЗаПредыдущийМесяцПостр_06</vt:lpstr>
      <vt:lpstr>XMLTAG_Раздел1и2_ЗаСоотвМесяцПрошлогоГодаПостр_01</vt:lpstr>
      <vt:lpstr>XMLTAG_Раздел1и2_ЗаСоотвМесяцПрошлогоГодаПостр_02</vt:lpstr>
      <vt:lpstr>XMLTAG_Раздел1и2_ЗаСоотвМесяцПрошлогоГодаПостр_05</vt:lpstr>
      <vt:lpstr>XMLTAG_Раздел1и2_ЗаСоотвМесяцПрошлогоГодаПостр_06</vt:lpstr>
      <vt:lpstr>XMLTAG_Раздел1и2_ЗаСоотвМесяцПрошлогоГодаПостр_09</vt:lpstr>
      <vt:lpstr>XMLTAG_Раздел1и2_СведенияПоВидам_SNRN_6_SFRQ_7_SLRQ_1_TTRRN_7</vt:lpstr>
      <vt:lpstr>XMLTAG_Раздел1и2_СуммаСтр30Гр1</vt:lpstr>
      <vt:lpstr>XMLTAG_Раздел1и2_СуммаСтр30Гр2</vt:lpstr>
      <vt:lpstr>XMLTAG_Раздел1и2_СуммаСтр30Гр3</vt:lpstr>
      <vt:lpstr>XMLTAG_Раздел1и2_СуммаСтр30Гр4</vt:lpstr>
      <vt:lpstr>XMLTAG_Раздел1и2_СуммаСтр30Гр5</vt:lpstr>
      <vt:lpstr>XMLTAG_Раздел1и2_СуммаСтр30Гр6</vt:lpstr>
      <vt:lpstr>XMLTAG_Раздел1и2_СуммаСтр30Гр7</vt:lpstr>
      <vt:lpstr>XMLTAG_Раздел1и2_СуммаСтр30Гр8</vt:lpstr>
      <vt:lpstr>XMLTAG_Раздел1и2_СуммаСтр30Гр9</vt:lpstr>
      <vt:lpstr>XMLTAG_Раздел3_ПроизводствоПромышленнойПродукции_SNRN_6_SFRQ_7_SLRQ_1_TTRRN_7</vt:lpstr>
      <vt:lpstr>XMLTAG_Реквизиты_КодОкпо</vt:lpstr>
      <vt:lpstr>XMLTAG_Технический_Execute_Report_Finalizer_Macros</vt:lpstr>
      <vt:lpstr>XMLTAG_Технический_Parent</vt:lpstr>
      <vt:lpstr>XMLTAG_Технический_Report_Type</vt:lpstr>
      <vt:lpstr>XMLTAG_Технический_Report_Version_Value</vt:lpstr>
      <vt:lpstr>XMLTAG_Технический_Reporting_Period_End</vt:lpstr>
      <vt:lpstr>XMLTAG_Технический_Reporting_Period_Start</vt:lpstr>
      <vt:lpstr>XMLTAG_Технический_Target_Office</vt:lpstr>
      <vt:lpstr>XMLTAG_Титульный_ГлавныйБухгалтер</vt:lpstr>
      <vt:lpstr>XMLTAG_Титульный_ГородРегистрацииОрганизации</vt:lpstr>
      <vt:lpstr>XMLTAG_Титульный_Исполнитель</vt:lpstr>
      <vt:lpstr>XMLTAG_Титульный_НаправитьОтчетВ</vt:lpstr>
      <vt:lpstr>XMLTAG_Титульный_НомерТелефона</vt:lpstr>
      <vt:lpstr>XMLTAG_Титульный_Организация</vt:lpstr>
      <vt:lpstr>XMLTAG_Титульный_ОтчетныйПериод</vt:lpstr>
      <vt:lpstr>XMLTAG_Титульный_РегНомер</vt:lpstr>
      <vt:lpstr>XMLTAG_Титульный_РуководительОрганизации</vt:lpstr>
      <vt:lpstr>XMLTAG_Титульный_ФискКод</vt:lpstr>
      <vt:lpstr>'Раздел 1 и 2'!Область_печати</vt:lpstr>
      <vt:lpstr>'Раздел 3'!Область_печати</vt:lpstr>
      <vt:lpstr>Реквизиты!Область_печати</vt:lpstr>
      <vt:lpstr>Титульный!Область_печати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2023-07-18T07:29:30Z</dcterms:modified>
</cp:coreProperties>
</file>